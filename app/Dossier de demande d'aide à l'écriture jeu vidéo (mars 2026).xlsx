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M:\DN-Dossiers-Partagés\CREATION NUMERIQUE\2.JEU VIDEO\4.COMMUNICATION\Dossiers de demande\"/>
    </mc:Choice>
  </mc:AlternateContent>
  <xr:revisionPtr revIDLastSave="0" documentId="13_ncr:1_{D012D265-996E-4BE0-A256-5CFEF48ED7F7}" xr6:coauthVersionLast="47" xr6:coauthVersionMax="47" xr10:uidLastSave="{00000000-0000-0000-0000-000000000000}"/>
  <bookViews>
    <workbookView xWindow="-120" yWindow="-120" windowWidth="25440" windowHeight="15270" tabRatio="935" xr2:uid="{00000000-000D-0000-FFFF-FFFF00000000}"/>
  </bookViews>
  <sheets>
    <sheet name="Page d'accueil" sheetId="40" r:id="rId1"/>
    <sheet name="0_Dossier de demande " sheetId="39" r:id="rId2"/>
    <sheet name="1_Lettre de demande" sheetId="26" r:id="rId3"/>
    <sheet name="2_Fiche projet" sheetId="46" r:id="rId4"/>
    <sheet name="3_Fiche auteurs " sheetId="49" r:id="rId5"/>
    <sheet name="4_Accord répartition" sheetId="41" r:id="rId6"/>
    <sheet name="5_Budget et financement" sheetId="45" r:id="rId7"/>
    <sheet name="6_Fiche synthèse" sheetId="48" r:id="rId8"/>
    <sheet name="Results" sheetId="28" state="hidden" r:id="rId9"/>
  </sheets>
  <definedNames>
    <definedName name="_xlnm.Print_Titles" localSheetId="4">'3_Fiche auteurs '!$5:$12</definedName>
    <definedName name="_xlnm.Print_Titles" localSheetId="5">'4_Accord répartition'!$5:$7</definedName>
    <definedName name="_xlnm.Print_Area" localSheetId="1">'0_Dossier de demande '!$B$1:$AJ$91</definedName>
    <definedName name="_xlnm.Print_Area" localSheetId="2">'1_Lettre de demande'!$A$1:$AD$47</definedName>
    <definedName name="_xlnm.Print_Area" localSheetId="3">'2_Fiche projet'!$A$1:$AG$67</definedName>
    <definedName name="_xlnm.Print_Area" localSheetId="4">'3_Fiche auteurs '!$A$1:$AX$69</definedName>
    <definedName name="_xlnm.Print_Area" localSheetId="5">'4_Accord répartition'!$A$1:$AY$45</definedName>
    <definedName name="_xlnm.Print_Area" localSheetId="6">'5_Budget et financement'!$A$1:$AA$35</definedName>
    <definedName name="_xlnm.Print_Area" localSheetId="7">'6_Fiche synthèse'!$A$1:$I$90</definedName>
    <definedName name="_xlnm.Print_Area" localSheetId="0">'Page d''accueil'!$B$1:$AE$60</definedName>
    <definedName name="_xlnm.Print_Area" localSheetId="8">Results!$AA$1:$BT$123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48" l="1"/>
  <c r="D58" i="48"/>
  <c r="D57" i="48"/>
  <c r="D56" i="48"/>
  <c r="D55" i="48"/>
  <c r="C49" i="48"/>
  <c r="D54" i="48"/>
  <c r="D53" i="48"/>
  <c r="D51" i="48"/>
  <c r="X19" i="45"/>
  <c r="D52" i="48" s="1"/>
  <c r="X29" i="45"/>
  <c r="AE4" i="28" l="1"/>
  <c r="AE6" i="28"/>
  <c r="BM10" i="28"/>
  <c r="BM12" i="28"/>
  <c r="BM14" i="28"/>
  <c r="BM16" i="28"/>
  <c r="BM18" i="28"/>
  <c r="AQ22" i="28"/>
  <c r="AQ24" i="28"/>
  <c r="BM28" i="28"/>
  <c r="BQ31" i="28"/>
  <c r="AF40" i="28"/>
  <c r="BM40" i="28"/>
  <c r="AF45" i="28"/>
  <c r="BM45" i="28"/>
  <c r="BM47" i="28"/>
  <c r="BM51" i="28"/>
  <c r="BM53" i="28"/>
  <c r="BM61" i="28"/>
  <c r="BM63" i="28"/>
  <c r="AG65" i="28"/>
  <c r="AG67" i="28"/>
  <c r="AG69" i="28"/>
  <c r="BM71" i="28"/>
  <c r="BM76" i="28"/>
  <c r="BM88" i="28"/>
  <c r="BM90" i="28"/>
  <c r="BM94" i="28"/>
  <c r="BM96" i="28"/>
  <c r="BM98" i="28"/>
  <c r="BM100" i="28"/>
  <c r="BM102" i="28"/>
  <c r="BM104" i="28"/>
  <c r="BQ106" i="28"/>
  <c r="BQ108" i="28" s="1"/>
  <c r="BM113" i="28"/>
  <c r="BM115" i="28" l="1"/>
  <c r="AN117" i="28" s="1"/>
  <c r="BM31" i="28"/>
  <c r="AO86" i="28" s="1"/>
  <c r="BM106" i="28"/>
  <c r="BO106" i="28" s="1"/>
  <c r="AQ26" i="28"/>
  <c r="AQ28" i="28" s="1"/>
  <c r="BM108" i="28" l="1"/>
  <c r="AO78" i="28"/>
  <c r="AL57" i="28" l="1"/>
  <c r="AL59" i="28" s="1"/>
  <c r="AO80" i="28"/>
  <c r="AO82"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avenard</author>
  </authors>
  <commentList>
    <comment ref="AH53" authorId="0" shapeId="0" xr:uid="{00000000-0006-0000-0700-000001000000}">
      <text>
        <r>
          <rPr>
            <sz val="8"/>
            <color indexed="81"/>
            <rFont val="Tahoma"/>
            <family val="2"/>
          </rPr>
          <t xml:space="preserve">
</t>
        </r>
        <r>
          <rPr>
            <b/>
            <u/>
            <sz val="8"/>
            <color indexed="81"/>
            <rFont val="Tahoma"/>
            <family val="2"/>
          </rPr>
          <t>Les dépenses artistiques</t>
        </r>
        <r>
          <rPr>
            <sz val="8"/>
            <color indexed="81"/>
            <rFont val="Tahoma"/>
            <family val="2"/>
          </rPr>
          <t xml:space="preserve"> : 
- dépenses de personnels affectés à la création du jeu vidéo, 
- rénumérations versées aux auteurs participant à la création du jeu vidéo en application d'un contrat de cession de droits d'exploitation, 
- dépenses liées à des prestations effectuées par des studios spécialisés dans la création de jeu vidéo.
&gt;&gt;&gt; </t>
        </r>
        <r>
          <rPr>
            <i/>
            <sz val="8"/>
            <color indexed="81"/>
            <rFont val="Tahoma"/>
            <family val="2"/>
          </rPr>
          <t>Sont exclues les dépenses de programmation</t>
        </r>
        <r>
          <rPr>
            <sz val="8"/>
            <color indexed="81"/>
            <rFont val="Tahoma"/>
            <family val="2"/>
          </rPr>
          <t xml:space="preserve">. 
</t>
        </r>
      </text>
    </comment>
    <comment ref="AK76" authorId="0" shapeId="0" xr:uid="{00000000-0006-0000-0700-000002000000}">
      <text>
        <r>
          <rPr>
            <b/>
            <u/>
            <sz val="8"/>
            <color indexed="81"/>
            <rFont val="Tahoma"/>
            <family val="2"/>
          </rPr>
          <t xml:space="preserve">
Les dépenses de développement : </t>
        </r>
        <r>
          <rPr>
            <b/>
            <sz val="8"/>
            <color indexed="81"/>
            <rFont val="Tahoma"/>
            <family val="2"/>
          </rPr>
          <t xml:space="preserve">
</t>
        </r>
        <r>
          <rPr>
            <sz val="8"/>
            <color indexed="81"/>
            <rFont val="Tahoma"/>
            <family val="2"/>
          </rPr>
          <t>- ensemble des dépenses engagées par l'entreprise de création pour la réalisation de la première version définitive du jeu prête à être dupliquée ou à être mise à disposition du public en ligne.</t>
        </r>
      </text>
    </comment>
  </commentList>
</comments>
</file>

<file path=xl/sharedStrings.xml><?xml version="1.0" encoding="utf-8"?>
<sst xmlns="http://schemas.openxmlformats.org/spreadsheetml/2006/main" count="364" uniqueCount="272">
  <si>
    <t>Fiche de présentation du projet</t>
  </si>
  <si>
    <t>Total Critères "Contribution au développement de la création"</t>
  </si>
  <si>
    <t>Points obtenus</t>
  </si>
  <si>
    <t xml:space="preserve">  I - BAREME "Auteurs et collaborateurs de création"</t>
  </si>
  <si>
    <t>Résultats</t>
  </si>
  <si>
    <t xml:space="preserve">   II - CRITERES "Contribution au développement de la création"</t>
  </si>
  <si>
    <t>minimum</t>
  </si>
  <si>
    <t xml:space="preserve">La société est-elle éligible au crédit d'impôt ? </t>
  </si>
  <si>
    <t>Avis du Comité d'expert :</t>
  </si>
  <si>
    <t xml:space="preserve">Entreprise : </t>
  </si>
  <si>
    <t xml:space="preserve">Jeu vidéo : </t>
  </si>
  <si>
    <t xml:space="preserve">   RESULTATS </t>
  </si>
  <si>
    <t xml:space="preserve">Masse salariale en France et en Europe : </t>
  </si>
  <si>
    <r>
      <t xml:space="preserve">Masse salariale </t>
    </r>
    <r>
      <rPr>
        <b/>
        <sz val="9"/>
        <rFont val="Arial"/>
        <family val="2"/>
      </rPr>
      <t>hors</t>
    </r>
    <r>
      <rPr>
        <sz val="9"/>
        <rFont val="Arial"/>
        <family val="2"/>
      </rPr>
      <t xml:space="preserve"> France et Europe : </t>
    </r>
  </si>
  <si>
    <t xml:space="preserve">Total de la masse salariale : </t>
  </si>
  <si>
    <t>I - Barème  "Auteurs et collaborateurs de création"</t>
  </si>
  <si>
    <t>II - Critères "Contribution au développement de la création"</t>
  </si>
  <si>
    <t xml:space="preserve"> </t>
  </si>
  <si>
    <t>1-</t>
  </si>
  <si>
    <t>2-</t>
  </si>
  <si>
    <t>3-</t>
  </si>
  <si>
    <t>4-</t>
  </si>
  <si>
    <r>
      <t xml:space="preserve">Barème
de points
</t>
    </r>
    <r>
      <rPr>
        <b/>
        <i/>
        <sz val="8"/>
        <color indexed="23"/>
        <rFont val="Arial"/>
        <family val="2"/>
      </rPr>
      <t>pour information</t>
    </r>
  </si>
  <si>
    <t>interface homme et machine,</t>
  </si>
  <si>
    <t>contenu généré par les utilisateurs,</t>
  </si>
  <si>
    <t>intelligence artificielle,</t>
  </si>
  <si>
    <t>rendu,</t>
  </si>
  <si>
    <t>interactivité et fonctionnalité multi-joueurs,</t>
  </si>
  <si>
    <t xml:space="preserve">structure narrative. </t>
  </si>
  <si>
    <t>Equipe de création :</t>
  </si>
  <si>
    <t>2/3 des dépenses salariales réalisées en France et en Europe</t>
  </si>
  <si>
    <t>Total Bareme "Auteurs et collaborateurs de création"</t>
  </si>
  <si>
    <t>­ Le jeu repose sur une narration</t>
  </si>
  <si>
    <t>­ Les dépenses artistiques représentent plus de 50% du coût de développement  :</t>
  </si>
  <si>
    <t xml:space="preserve">Montant des dépenses artistiques : </t>
  </si>
  <si>
    <t xml:space="preserve">Coût total de développement : </t>
  </si>
  <si>
    <t xml:space="preserve">Pourcentage : </t>
  </si>
  <si>
    <t xml:space="preserve">­ La version originale de la bible est écrite en français   </t>
  </si>
  <si>
    <t xml:space="preserve">­ Le jeu vidéo est édité dans au moins 3 langues en vigueur dans l'Union européenne : </t>
  </si>
  <si>
    <t>Langue 2 :</t>
  </si>
  <si>
    <t>Langue 3 :</t>
  </si>
  <si>
    <t>Langue 1 :</t>
  </si>
  <si>
    <t xml:space="preserve">­ Traitement de problématiques politiques, sociales ou culturelles ou de valeurs spécifiques </t>
  </si>
  <si>
    <t>aux sociétés européennes</t>
  </si>
  <si>
    <t>Localisation des dépenses et nationalité des auteurs et collaborateurs de création</t>
  </si>
  <si>
    <t>­ 80% des dépenses de développement réalisées en France et en Europe :</t>
  </si>
  <si>
    <t xml:space="preserve">Montant des dépenses en France et en Europe : </t>
  </si>
  <si>
    <t xml:space="preserve">­ Le jeu vidéo fait intervenir auteurs et collaborateurs de l'Union européenne : </t>
  </si>
  <si>
    <t xml:space="preserve">Total Barème Auteurs &amp; collaborateurs : </t>
  </si>
  <si>
    <t>Sous-total innovations technologiques</t>
  </si>
  <si>
    <t>Max. 3 pts</t>
  </si>
  <si>
    <t>Compositeur musique ou créateur environnement sonore</t>
  </si>
  <si>
    <t xml:space="preserve">Laquelle : </t>
  </si>
  <si>
    <t>­  Le jeu est adapté d'une œuvre cinématographique, audiovisuelle, littéraire, artistique ou d'une bande dessinée.</t>
  </si>
  <si>
    <t>Réservé au CNC</t>
  </si>
  <si>
    <t>­ Le jeu est inspiré d'une œuvre reconnue du patrimoine, artistique et scientifique européen.</t>
  </si>
  <si>
    <t>OU</t>
  </si>
  <si>
    <t>Scénariste</t>
  </si>
  <si>
    <t>Directeur artistique</t>
  </si>
  <si>
    <t>Création d'origine patrimoniale</t>
  </si>
  <si>
    <t>Originalité de la création</t>
  </si>
  <si>
    <t>Contenus culturels</t>
  </si>
  <si>
    <t>Innovations technologiques et éditoriales</t>
  </si>
  <si>
    <t>Directeur créatif ou réalisateur</t>
  </si>
  <si>
    <t>Responsable de la conception des mécanismes du jeu</t>
  </si>
  <si>
    <t xml:space="preserve">en vue d’obtenir d’une administration publique ou d’un organisme chargé d’une mission de service public une allocation, un paiement ou un avantage </t>
  </si>
  <si>
    <t>fournis dans ce dossier.</t>
  </si>
  <si>
    <t xml:space="preserve">RESUME DU PROJET  </t>
  </si>
  <si>
    <t>NATIONALITE</t>
  </si>
  <si>
    <t>-</t>
  </si>
  <si>
    <t>€</t>
  </si>
  <si>
    <t>QUALITE</t>
  </si>
  <si>
    <t>TELEPHONE</t>
  </si>
  <si>
    <t>E-MAIL</t>
  </si>
  <si>
    <t>Fiche de renseignements concernant les auteurs</t>
  </si>
  <si>
    <t xml:space="preserve">A2 - </t>
  </si>
  <si>
    <t xml:space="preserve">A1 - </t>
  </si>
  <si>
    <t xml:space="preserve">B2 - </t>
  </si>
  <si>
    <t xml:space="preserve">B1 - </t>
  </si>
  <si>
    <t>(</t>
  </si>
  <si>
    <t>Il est impératif de respecter strictement les consignes ci-après</t>
  </si>
  <si>
    <t>Je (nous) soussigné(ons)  en qualité d'auteur(s)</t>
  </si>
  <si>
    <t xml:space="preserve">sollicite(ons) auprès du Centre national du cinéma et de l'image animée, pour le projet intitulé : </t>
  </si>
  <si>
    <t xml:space="preserve">le versement d'une aide à l'écriture d'un montant de : </t>
  </si>
  <si>
    <t xml:space="preserve">Je (nous)  déclare(ons) avoir pris connaissance de l'article 441-6 alinéa 2 du Code pénal qui stipule que "le fait de fournir une déclaration mensongère </t>
  </si>
  <si>
    <r>
      <t xml:space="preserve">indu est puni de </t>
    </r>
    <r>
      <rPr>
        <u/>
        <sz val="10"/>
        <rFont val="Arial"/>
        <family val="2"/>
      </rPr>
      <t>deux ans d’emprisonnement et de 30 000 € d’amende</t>
    </r>
    <r>
      <rPr>
        <sz val="10"/>
        <rFont val="Arial"/>
        <family val="2"/>
      </rPr>
      <t xml:space="preserve"> », et </t>
    </r>
    <r>
      <rPr>
        <b/>
        <sz val="10"/>
        <rFont val="Arial"/>
        <family val="2"/>
      </rPr>
      <t>certifie(ons) l’exactitude de l’ensemble des renseignements</t>
    </r>
  </si>
  <si>
    <t xml:space="preserve">Date, signature de chaque auteur : </t>
  </si>
  <si>
    <t>Etant préalablement rappelé que :</t>
  </si>
  <si>
    <t>Il est convenu et arrêté que :</t>
  </si>
  <si>
    <t>%</t>
  </si>
  <si>
    <t xml:space="preserve">3- </t>
  </si>
  <si>
    <t xml:space="preserve">5 - </t>
  </si>
  <si>
    <t>Fonds d'aide au jeu vidéo</t>
  </si>
  <si>
    <t>Aide à l'écriture</t>
  </si>
  <si>
    <t>Accord de répartition entre les auteurs</t>
  </si>
  <si>
    <t>pour le projet intitulé :</t>
  </si>
  <si>
    <t>Les soussignés ont présenté conjointement au Centre national du cinéma et de l'image animée une demande d'aide à l'écriture de jeu vidéo</t>
  </si>
  <si>
    <t>Un dossier littéraire et graphique décrivant les principales caractéristiques du jeu:</t>
  </si>
  <si>
    <t>5-</t>
  </si>
  <si>
    <t>L'aide versée par le Centre national du cinéma et de l'image animée sera répartie entre les soussignés de la façon suivante :</t>
  </si>
  <si>
    <r>
      <t>(</t>
    </r>
    <r>
      <rPr>
        <i/>
        <sz val="12"/>
        <rFont val="Arial"/>
        <family val="2"/>
      </rPr>
      <t>nombre en lettres</t>
    </r>
    <r>
      <rPr>
        <sz val="12"/>
        <rFont val="Arial"/>
        <family val="2"/>
      </rPr>
      <t>) pour</t>
    </r>
  </si>
  <si>
    <t>Monsieur le président</t>
  </si>
  <si>
    <t>Chef de service - Olivier Fontenay</t>
  </si>
  <si>
    <t>TITRE DU PROJET:</t>
  </si>
  <si>
    <t>PLATEFORME(S) (PS5, PC, Mobile IOS/Android etc.):</t>
  </si>
  <si>
    <t>MULTIJOUEUR:</t>
  </si>
  <si>
    <t>OUI</t>
  </si>
  <si>
    <t>NON</t>
  </si>
  <si>
    <t>Modèle de commercialisation (free-to-play, pay-to-play etc.):</t>
  </si>
  <si>
    <t xml:space="preserve">Prévision de classification du projet (modèle PEGI) : </t>
  </si>
  <si>
    <t>__ ans</t>
  </si>
  <si>
    <t>FAJV
Demande d'aide à l'écriture</t>
  </si>
  <si>
    <t>Total</t>
  </si>
  <si>
    <t>TOTAL</t>
  </si>
  <si>
    <t>Financements acquis et/ou sollicités</t>
  </si>
  <si>
    <t>Plateforme(s) de distribution (Steam, PSN, Apple Arcade etc.):</t>
  </si>
  <si>
    <t>NOM / Prénom</t>
  </si>
  <si>
    <t>Préciser   &gt;</t>
  </si>
  <si>
    <t>Type de joueur (casual, midcore, hardcore) :</t>
  </si>
  <si>
    <t>Public ciblé (enfants, adolescents/jeunes adultes, tout public) :</t>
  </si>
  <si>
    <t>- concept</t>
  </si>
  <si>
    <t>- principales mécaniques de jeu</t>
  </si>
  <si>
    <t>- recherches visuelles et graphiques</t>
  </si>
  <si>
    <t>- éléments scénaristiques (le cas échéant)</t>
  </si>
  <si>
    <t>- note technique</t>
  </si>
  <si>
    <t xml:space="preserve">5 - Budget et plan de financement </t>
  </si>
  <si>
    <t>Lettre de demande</t>
  </si>
  <si>
    <t>Chargée de mission - Alexandra Cola</t>
  </si>
  <si>
    <r>
      <t xml:space="preserve">Je (nous) certifie(ons) par la présente être le(s) seul(s) auteur(s) de cette œuvre et garantis(sons) le Centre national du cinéma et de l'image animée contre tout recours que pourrait faire à son encontre tout personne qui prétendrait détenir des droits sur ladite œuvre ou sur l'aide qui pourrait nous être accordée. </t>
    </r>
    <r>
      <rPr>
        <b/>
        <sz val="10"/>
        <rFont val="Arial"/>
        <family val="2"/>
      </rPr>
      <t>En l'espèce, je (nous) certifie(ons) que le projet ne fait pas l'objet d'un contrat de cession des droits ou/et d'exclusivité avec un studio, un producteur, ou un éditeur et ce jusqu'à la signature de la convention, en cas d'avis favorable de la commission.</t>
    </r>
  </si>
  <si>
    <t>En cas d’obtention d’une aide à l’écriture, je (nous) autorise(ons) la libre diffusion sur le site internet (scénariothèque) du CNC des dossiers artistiques de demande et de remise de la version retravaillée du projet**.</t>
  </si>
  <si>
    <t xml:space="preserve">Je (nous) autorise(ons) la libre diffusion par le CNC des informations précitées, par courriel auprès des professionnels du secteur (auteurs, producteurs etc.), sur le site internet du CNC et sur tout support de communication dédié au Fonds d’aide au Jeu Vidéo du CNC en cas d’obtention d’une aide à l’écriture*. </t>
  </si>
  <si>
    <t>**Les auteurs seront systématiquement prévenus de la mise en ligne du projet concerné.</t>
  </si>
  <si>
    <t xml:space="preserve">Date et signature de chacun des auteurs: </t>
  </si>
  <si>
    <t xml:space="preserve">*Dans le cas contraire, le contact mail pour le projet n’apparaîtra pas sur le site du CNC et ne sera pas publié. </t>
  </si>
  <si>
    <r>
      <t xml:space="preserve">Contact (mail) de l'auteur responsable du projet :
</t>
    </r>
    <r>
      <rPr>
        <sz val="10"/>
        <rFont val="Arial"/>
        <family val="2"/>
      </rPr>
      <t>Pourra être diffusé par le CNC en cas de sélection du projet</t>
    </r>
  </si>
  <si>
    <r>
      <t xml:space="preserve">DOSSIER ADMINISTRATIF </t>
    </r>
    <r>
      <rPr>
        <sz val="10"/>
        <rFont val="Arial"/>
        <family val="2"/>
      </rPr>
      <t>(1 fichier PDF nommé comme suit:</t>
    </r>
    <r>
      <rPr>
        <b/>
        <sz val="10"/>
        <rFont val="Arial"/>
        <family val="2"/>
      </rPr>
      <t xml:space="preserve"> A1_</t>
    </r>
    <r>
      <rPr>
        <b/>
        <i/>
        <sz val="10"/>
        <rFont val="Arial"/>
        <family val="2"/>
      </rPr>
      <t>titreduprojet</t>
    </r>
    <r>
      <rPr>
        <b/>
        <sz val="10"/>
        <rFont val="Arial"/>
        <family val="2"/>
      </rPr>
      <t>_dossier administratif</t>
    </r>
    <r>
      <rPr>
        <sz val="10"/>
        <rFont val="Arial"/>
        <family val="2"/>
      </rPr>
      <t>)</t>
    </r>
  </si>
  <si>
    <r>
      <t xml:space="preserve">JUSTIFICATIFS à fournir </t>
    </r>
    <r>
      <rPr>
        <sz val="10"/>
        <rFont val="Arial"/>
        <family val="2"/>
      </rPr>
      <t>(1 fichier PDF nommé comme suit:</t>
    </r>
    <r>
      <rPr>
        <b/>
        <sz val="10"/>
        <rFont val="Arial"/>
        <family val="2"/>
      </rPr>
      <t xml:space="preserve"> A2_</t>
    </r>
    <r>
      <rPr>
        <b/>
        <i/>
        <sz val="10"/>
        <rFont val="Arial"/>
        <family val="2"/>
      </rPr>
      <t>titreduprojet</t>
    </r>
    <r>
      <rPr>
        <b/>
        <sz val="10"/>
        <rFont val="Arial"/>
        <family val="2"/>
      </rPr>
      <t>_justificatifs</t>
    </r>
    <r>
      <rPr>
        <sz val="10"/>
        <rFont val="Arial"/>
        <family val="2"/>
      </rPr>
      <t>)</t>
    </r>
  </si>
  <si>
    <r>
      <t xml:space="preserve">DOSSIER ARTISTIQUE </t>
    </r>
    <r>
      <rPr>
        <sz val="10"/>
        <rFont val="Arial"/>
        <family val="2"/>
      </rPr>
      <t>(1 fichier PDF nommé comme suit:</t>
    </r>
    <r>
      <rPr>
        <b/>
        <sz val="10"/>
        <rFont val="Arial"/>
        <family val="2"/>
      </rPr>
      <t xml:space="preserve"> B_</t>
    </r>
    <r>
      <rPr>
        <b/>
        <i/>
        <sz val="10"/>
        <rFont val="Arial"/>
        <family val="2"/>
      </rPr>
      <t>titreduprojet</t>
    </r>
    <r>
      <rPr>
        <b/>
        <sz val="10"/>
        <rFont val="Arial"/>
        <family val="2"/>
      </rPr>
      <t>_dossier artistique</t>
    </r>
    <r>
      <rPr>
        <sz val="10"/>
        <rFont val="Arial"/>
        <family val="2"/>
      </rPr>
      <t>)</t>
    </r>
  </si>
  <si>
    <r>
      <rPr>
        <b/>
        <sz val="10"/>
        <rFont val="Arial"/>
        <family val="2"/>
      </rPr>
      <t xml:space="preserve">Une présentation synthétique (1 page) </t>
    </r>
    <r>
      <rPr>
        <sz val="10"/>
        <rFont val="Arial"/>
        <family val="2"/>
      </rPr>
      <t>des principaux éléments du projet :  titre, genre, univers, public cible, plateforme, outils, méthodologie</t>
    </r>
  </si>
  <si>
    <t xml:space="preserve">CNC - aide à l'écriture FAJV </t>
  </si>
  <si>
    <t xml:space="preserve">en cours </t>
  </si>
  <si>
    <t>à solliciter</t>
  </si>
  <si>
    <t>Acquis</t>
  </si>
  <si>
    <t>Le total du plan de financement doit bien correspondre au total des dépenses, la demande auprès du CNC ne peut en aucun cas dépasser les dépenses.</t>
  </si>
  <si>
    <t>Images : format jpeg/gif</t>
  </si>
  <si>
    <t>Sons : format mp3</t>
  </si>
  <si>
    <t>Vidéos : liens sécurisés</t>
  </si>
  <si>
    <r>
      <t xml:space="preserve">Le dossier complet au format numérique doit être adressé par mail à : </t>
    </r>
    <r>
      <rPr>
        <b/>
        <sz val="12"/>
        <color rgb="FFFF0000"/>
        <rFont val="Arial"/>
        <family val="2"/>
      </rPr>
      <t xml:space="preserve">commission-fajv@cnc.fr </t>
    </r>
  </si>
  <si>
    <t xml:space="preserve">La date de dépôt est celle de réception sur la boîte mail commission-fajv@cnc.fr </t>
  </si>
  <si>
    <t xml:space="preserve">1 - Lettre de demande  </t>
  </si>
  <si>
    <t>4 - Accord de répartition des auteurs</t>
  </si>
  <si>
    <t>Fait à</t>
  </si>
  <si>
    <t>, le</t>
  </si>
  <si>
    <t>Signatures des auteurs :</t>
  </si>
  <si>
    <t xml:space="preserve">La liste des éléments artistiques ci-dessus est donnée à titre indicatif au regard de ce qui est généralement attendu par la commission à ce stade. </t>
  </si>
  <si>
    <t>Vous pouvez adapter le dossier en fonction des spécificités de votre projet. Présentez-le de la manière la plus claire et la plus valorisante possible !</t>
  </si>
  <si>
    <t>Il est possible, à ce stade, de ne pas encore disposer de graphismes propres au projet.</t>
  </si>
  <si>
    <t>Dans ce cas, il est recommandé de fournir à minima un moodboard de références afin que la commission puisse visualiser la direction artistique envisagée.</t>
  </si>
  <si>
    <t>GENRE (aventure, réflexion, stratégie etc.)  :</t>
  </si>
  <si>
    <t>Sera diffusé par le CNC en cas de sélection du projet</t>
  </si>
  <si>
    <r>
      <t xml:space="preserve">Au moins l’un des auteurs déposants justifie </t>
    </r>
    <r>
      <rPr>
        <b/>
        <sz val="12"/>
        <rFont val="Arial"/>
        <family val="2"/>
      </rPr>
      <t>d'une formation spécifique dans le domaine du jeu vidéo ou d’une expérience significative dans l’équipe de création d’un jeu vidéo mis à disposition du public</t>
    </r>
    <r>
      <rPr>
        <sz val="12"/>
        <rFont val="Arial"/>
        <family val="2"/>
      </rPr>
      <t xml:space="preserve"> à titre onéreux ou gratuit.</t>
    </r>
  </si>
  <si>
    <t xml:space="preserve">Toutes les images fournies doivent être sourcées. </t>
  </si>
  <si>
    <r>
      <t xml:space="preserve">Je (nous) certifie(ons) par la présente ne pas avoir utilisé un programme d'intelligence artificielle générative pour </t>
    </r>
    <r>
      <rPr>
        <b/>
        <sz val="10"/>
        <rFont val="Arial"/>
        <family val="2"/>
      </rPr>
      <t>la rédaction du dossier de demande ainsi que la rédaction du dossier de rendu</t>
    </r>
    <r>
      <rPr>
        <sz val="10"/>
        <rFont val="Arial"/>
        <family val="2"/>
      </rPr>
      <t xml:space="preserve"> en cas d'octroi de l'aide. Je (nous) certifie(ons) par la présente avoir bien crédité le programme utilisé en cas de </t>
    </r>
    <r>
      <rPr>
        <b/>
        <sz val="10"/>
        <rFont val="Arial"/>
        <family val="2"/>
      </rPr>
      <t>génération de visuels</t>
    </r>
    <r>
      <rPr>
        <sz val="10"/>
        <rFont val="Arial"/>
        <family val="2"/>
      </rPr>
      <t xml:space="preserve"> via intelligence artificielle pour la direction artistique du jeu. </t>
    </r>
  </si>
  <si>
    <t>Impérativement co-signée par tous les auteur(s) déposants</t>
  </si>
  <si>
    <r>
      <t xml:space="preserve">APERCU GRAPHIQUE DU PROJET  :
</t>
    </r>
    <r>
      <rPr>
        <sz val="10"/>
        <rFont val="Arial"/>
        <family val="2"/>
      </rPr>
      <t>Image créée spécifiquement pour le projet, dont vous avez les droits, qui pourra être diffusée par le CNC en cas de sélection du projet. Optionnel, ne pas compléter s'il n'existe pas encore de visuel propre au projet.</t>
    </r>
  </si>
  <si>
    <t>graphiste</t>
  </si>
  <si>
    <t>Programmeur.euse</t>
  </si>
  <si>
    <t>scénariste</t>
  </si>
  <si>
    <r>
      <t xml:space="preserve">COMPLEMENTS ARTISTIQUES optionnels </t>
    </r>
    <r>
      <rPr>
        <sz val="10"/>
        <rFont val="Arial"/>
        <family val="2"/>
      </rPr>
      <t>(1 fichier PDF nommé comme suit:</t>
    </r>
    <r>
      <rPr>
        <b/>
        <sz val="10"/>
        <rFont val="Arial"/>
        <family val="2"/>
      </rPr>
      <t xml:space="preserve"> B2_</t>
    </r>
    <r>
      <rPr>
        <b/>
        <i/>
        <sz val="10"/>
        <rFont val="Arial"/>
        <family val="2"/>
      </rPr>
      <t>titreduprojet</t>
    </r>
    <r>
      <rPr>
        <b/>
        <sz val="10"/>
        <rFont val="Arial"/>
        <family val="2"/>
      </rPr>
      <t>_compléments visuels</t>
    </r>
    <r>
      <rPr>
        <sz val="10"/>
        <rFont val="Arial"/>
        <family val="2"/>
      </rPr>
      <t>)</t>
    </r>
  </si>
  <si>
    <r>
      <t xml:space="preserve">01 44 34 34 12 / </t>
    </r>
    <r>
      <rPr>
        <b/>
        <sz val="12"/>
        <rFont val="Arial"/>
        <family val="2"/>
      </rPr>
      <t>@</t>
    </r>
    <r>
      <rPr>
        <sz val="12"/>
        <rFont val="Arial"/>
        <family val="2"/>
      </rPr>
      <t xml:space="preserve">  alexandra.cola@cnc.fr</t>
    </r>
  </si>
  <si>
    <r>
      <t xml:space="preserve">La copie recto/verso d'une pièce d'identité de chaque auteur - </t>
    </r>
    <r>
      <rPr>
        <i/>
        <sz val="10"/>
        <color theme="1" tint="0.499984740745262"/>
        <rFont val="Arial"/>
        <family val="2"/>
      </rPr>
      <t xml:space="preserve">CNI, passeport ou titre de séjour européen d'au moins 10 ans de validité. </t>
    </r>
  </si>
  <si>
    <r>
      <t xml:space="preserve">Le Relevé d'idendité Bancaire original de chaque auteur - </t>
    </r>
    <r>
      <rPr>
        <i/>
        <sz val="10"/>
        <color theme="1" tint="0.499984740745262"/>
        <rFont val="Arial"/>
        <family val="2"/>
      </rPr>
      <t xml:space="preserve">RIB personnel avec prénom et nom conformément écrits et identiques à la pièce d'identité. </t>
    </r>
  </si>
  <si>
    <r>
      <t xml:space="preserve">Note d'intention des auteurs </t>
    </r>
    <r>
      <rPr>
        <sz val="10"/>
        <rFont val="Arial"/>
        <family val="2"/>
      </rPr>
      <t xml:space="preserve">décrivant la genèse du projet, les différents profils composant l'équipe de création et les principaux enjeux créatifs du jeu </t>
    </r>
  </si>
  <si>
    <t>Un état des recherches de partenaires artistiques et financiers éventuels</t>
  </si>
  <si>
    <t>DATE DE NAISSANCE</t>
  </si>
  <si>
    <t xml:space="preserve">ADRESSE </t>
  </si>
  <si>
    <t xml:space="preserve">⚠ </t>
  </si>
  <si>
    <t>Lore</t>
  </si>
  <si>
    <t>dialogues</t>
  </si>
  <si>
    <t>chara design</t>
  </si>
  <si>
    <t>tests gameplay et systèmes de jeu</t>
  </si>
  <si>
    <t>adobe</t>
  </si>
  <si>
    <t>Frais recherches historiques</t>
  </si>
  <si>
    <t>consultant.e externe</t>
  </si>
  <si>
    <t>auteur 1 : travail d'écriture</t>
  </si>
  <si>
    <t>auteur 2 : travail graphique</t>
  </si>
  <si>
    <t>auteur 3 : programmation</t>
  </si>
  <si>
    <t>exemples :</t>
  </si>
  <si>
    <t>Frais licences informatique et abonnements</t>
  </si>
  <si>
    <t>Des frais de création d'entreprise, de marketing, de mise en page ou bien l'achat d'un ordinateur ne sont pas éligibles par exemple.</t>
  </si>
  <si>
    <t>scénario - embranchements</t>
  </si>
  <si>
    <t>Il s'agit ici du budget prévisionnel de la phase d'écriture/conception. A ce stade, il est possible que l'aide du CNC soit le seul financement identifié.</t>
  </si>
  <si>
    <t>univers visuel - DA</t>
  </si>
  <si>
    <t xml:space="preserve">REGION </t>
  </si>
  <si>
    <t xml:space="preserve">► L'aide n'est pas accessible aux étudiants. </t>
  </si>
  <si>
    <t xml:space="preserve">Les auteurs déposants ont, soit la nationalité française, soit sont ressortissants d'un Etat de l'union européenne ou d'un Etat ayant conclu des accords dans le secteur audiovisuel. Voir la liste : </t>
  </si>
  <si>
    <t>https://www.coe.int/en/web/conventions/cets-number-/-abridged-title-known?module=signatures-by-treaty&amp;treatynum=132</t>
  </si>
  <si>
    <t>Direction du numérique - service de la création numérique</t>
  </si>
  <si>
    <r>
      <t xml:space="preserve">Cette aide a pour vocation d'accompagner l’élaboration de </t>
    </r>
    <r>
      <rPr>
        <b/>
        <sz val="12"/>
        <rFont val="Arial"/>
        <family val="2"/>
      </rPr>
      <t xml:space="preserve">la bible de conception d’un jeu vidéo </t>
    </r>
    <r>
      <rPr>
        <sz val="12"/>
        <rFont val="Arial"/>
        <family val="2"/>
      </rPr>
      <t xml:space="preserve">(couramment appelée </t>
    </r>
    <r>
      <rPr>
        <i/>
        <sz val="12"/>
        <rFont val="Arial"/>
        <family val="2"/>
      </rPr>
      <t>game design document</t>
    </r>
    <r>
      <rPr>
        <sz val="12"/>
        <rFont val="Arial"/>
        <family val="2"/>
      </rPr>
      <t xml:space="preserve">) présentant toutes les caractéristiques du jeu à venir : mécaniques de jeux, éléments scénaristiques, bible graphique, principes de programmation et autres spécifications techniques. </t>
    </r>
  </si>
  <si>
    <t>L'utilisation de France Transfert est recommandée : https://francetransfert.numerique.gouv.fr</t>
  </si>
  <si>
    <t xml:space="preserve">► Les salariés d'une société de jeu vidéo peuvent déposer une demande à condition de fournir une attestation de leur employeur certifiant qu'il s'agit d'un projet personnel fait sur temps libre non développé par la société et, qu'en ce sens, la société ne sollicitera pas le FAJV et le CIJV pour le projet. </t>
  </si>
  <si>
    <t xml:space="preserve">► L'aide n'est pas accessible aux dirigeants d'une société de droit commercial (président/présidente, directeur/directrice, gérant/gérante, etc.) </t>
  </si>
  <si>
    <t>L'aide est réservée aux projets en phase de conception, non développés par une société à ce stade.</t>
  </si>
  <si>
    <t>Voir le calendrier des dépôts :</t>
  </si>
  <si>
    <t>https://www.cnc.fr/professionnels/aides-et-financements/jeu-video/fonds-daide-au-jeu-video-fajv_191468</t>
  </si>
  <si>
    <r>
      <t xml:space="preserve">L'aide est réservée aux </t>
    </r>
    <r>
      <rPr>
        <b/>
        <sz val="12"/>
        <rFont val="Arial"/>
        <family val="2"/>
      </rPr>
      <t xml:space="preserve">créateurs indépendants, </t>
    </r>
    <r>
      <rPr>
        <sz val="12"/>
        <rFont val="Arial"/>
        <family val="2"/>
      </rPr>
      <t>c’est-à-dire des personnes physiques non liées à une société.</t>
    </r>
  </si>
  <si>
    <t>Accueil et information des porteurs de projet / dépôts et résultats de commissions</t>
  </si>
  <si>
    <t xml:space="preserve">► L'aide est ouverte aux artistes-auteurs, entrepreneurs individuels, etc. </t>
  </si>
  <si>
    <t>(Toutes les feuilles du fichier excel sont à compléter et à parapher)</t>
  </si>
  <si>
    <t xml:space="preserve">Le dossier complet au format numérique doit être adressé par mail à : commission-fajv@cnc.fr </t>
  </si>
  <si>
    <t>&lt;!&gt; Dans le cas d'une première demande ou pour toute question, il est recommandé de nous contacter au moins 3 semaines avant le dépôt souhaité.</t>
  </si>
  <si>
    <t>Les auteurs déposants doivent être les seuls concepteurs du projet qu’ils soumettent, en disposer de tous les droits et être en capacité de le présenter (ne pas avoir signé un contrat de cession des droits ou d'exclusivité de cette œuvre à un studio / producteur / éditeur ; avoir l'accord des ayants droits en cas d'adaptation, etc.)</t>
  </si>
  <si>
    <r>
      <t xml:space="preserve">Le(s) justificatif(s) d'un financement inscrit au plan de financement </t>
    </r>
    <r>
      <rPr>
        <i/>
        <sz val="10"/>
        <color theme="0" tint="-0.499984740745262"/>
        <rFont val="Arial"/>
        <family val="2"/>
      </rPr>
      <t xml:space="preserve">- Relevé(s) de compte pour les apports personnels numéraires </t>
    </r>
  </si>
  <si>
    <t xml:space="preserve">L'aide à l'écriture soutient la phase de conception du jeu, seules les dépenses liées directement et spécifiquement à la création "artistique" du projet sont éligibles. </t>
  </si>
  <si>
    <r>
      <t xml:space="preserve">Dépenses à engager (devis prévisionnel)
</t>
    </r>
    <r>
      <rPr>
        <i/>
        <sz val="9"/>
        <rFont val="Arial"/>
        <family val="2"/>
      </rPr>
      <t>travail d'écriture, travail graphique, recherches, matériel etc.</t>
    </r>
  </si>
  <si>
    <t>Seules les sommes numéraires sont prises en compte (pas d'apport en industrie)</t>
  </si>
  <si>
    <t>Devis prévisionnel et plan de financement</t>
  </si>
  <si>
    <r>
      <t xml:space="preserve">Le(s) curriculum vitae - </t>
    </r>
    <r>
      <rPr>
        <i/>
        <sz val="10"/>
        <color theme="1" tint="0.499984740745262"/>
        <rFont val="Arial"/>
        <family val="2"/>
      </rPr>
      <t>CV</t>
    </r>
    <r>
      <rPr>
        <sz val="10"/>
        <rFont val="Arial"/>
        <family val="2"/>
      </rPr>
      <t xml:space="preserve"> </t>
    </r>
    <r>
      <rPr>
        <i/>
        <sz val="10"/>
        <color theme="1" tint="0.499984740745262"/>
        <rFont val="Arial"/>
        <family val="2"/>
      </rPr>
      <t>à jour et clair concernant les statuts (freelance, salariés…)</t>
    </r>
  </si>
  <si>
    <t>Les dossiers incomplets, retardataires ou ne respectant pas les modalités indiquées seront rejetés.</t>
  </si>
  <si>
    <t xml:space="preserve">Un calendrier prévisionnel de réalisation.  </t>
  </si>
  <si>
    <t>A quoi va servir cette fiche de synthèse :</t>
  </si>
  <si>
    <r>
      <t xml:space="preserve">- Elle a pour but de </t>
    </r>
    <r>
      <rPr>
        <b/>
        <sz val="14"/>
        <color indexed="62"/>
        <rFont val="Arial"/>
        <family val="2"/>
      </rPr>
      <t>visualiser et comprendre synthétiquement</t>
    </r>
    <r>
      <rPr>
        <sz val="14"/>
        <color indexed="62"/>
        <rFont val="Arial"/>
        <family val="2"/>
      </rPr>
      <t xml:space="preserve"> votre projet</t>
    </r>
  </si>
  <si>
    <r>
      <t xml:space="preserve">- </t>
    </r>
    <r>
      <rPr>
        <b/>
        <sz val="14"/>
        <color indexed="62"/>
        <rFont val="Arial"/>
        <family val="2"/>
      </rPr>
      <t>Elle sera projetée lors de la commission</t>
    </r>
    <r>
      <rPr>
        <sz val="14"/>
        <color indexed="62"/>
        <rFont val="Arial"/>
        <family val="2"/>
      </rPr>
      <t xml:space="preserve">, au moment de l’examen du projet, </t>
    </r>
  </si>
  <si>
    <t>pour en rappeler les principales caractéristiques</t>
  </si>
  <si>
    <r>
      <t xml:space="preserve">- Elle pourra être </t>
    </r>
    <r>
      <rPr>
        <b/>
        <sz val="14"/>
        <color indexed="62"/>
        <rFont val="Arial"/>
        <family val="2"/>
      </rPr>
      <t>utilisée lors de réunions internes au CNC</t>
    </r>
    <r>
      <rPr>
        <sz val="14"/>
        <color indexed="62"/>
        <rFont val="Arial"/>
        <family val="2"/>
      </rPr>
      <t xml:space="preserve"> concernant la préparation </t>
    </r>
  </si>
  <si>
    <t>de la commission ou le suivi des projets</t>
  </si>
  <si>
    <r>
      <t xml:space="preserve">- </t>
    </r>
    <r>
      <rPr>
        <b/>
        <u/>
        <sz val="14"/>
        <color indexed="62"/>
        <rFont val="Arial"/>
        <family val="2"/>
      </rPr>
      <t>Si le projet fait l'objet d'un soutien</t>
    </r>
    <r>
      <rPr>
        <b/>
        <sz val="14"/>
        <color indexed="62"/>
        <rFont val="Arial"/>
        <family val="2"/>
      </rPr>
      <t>, elle pourra être montrée à des organismes publics</t>
    </r>
    <r>
      <rPr>
        <sz val="14"/>
        <color indexed="62"/>
        <rFont val="Arial"/>
        <family val="2"/>
      </rPr>
      <t xml:space="preserve"> (Ministère, DRAC…) </t>
    </r>
  </si>
  <si>
    <r>
      <t xml:space="preserve">dans le cadre du suivi des projets mais </t>
    </r>
    <r>
      <rPr>
        <b/>
        <sz val="14"/>
        <color indexed="62"/>
        <rFont val="Arial"/>
        <family val="2"/>
      </rPr>
      <t>ne sera pas diffusée publiquement</t>
    </r>
  </si>
  <si>
    <t>- Le cas échéant, toute autre utilisation fera l’objet d’une demande d’autorisation préalable</t>
  </si>
  <si>
    <t xml:space="preserve">Consignes pour compléter la fiche: </t>
  </si>
  <si>
    <t>- les autres éléments ont été complétés automatiquement grâce aux informations indiquées dans les autres onglets</t>
  </si>
  <si>
    <t>- Ne pas modifier la forme du document</t>
  </si>
  <si>
    <t>Nous nous réservons le droit de modifier la forme de votre fiche afin d’assurer une meilleure lisibilité</t>
  </si>
  <si>
    <r>
      <t xml:space="preserve">• Montant demandé :              </t>
    </r>
    <r>
      <rPr>
        <sz val="12"/>
        <color indexed="62"/>
        <rFont val="Arial"/>
        <family val="2"/>
      </rPr>
      <t xml:space="preserve">    </t>
    </r>
  </si>
  <si>
    <r>
      <t>• Plateformes :</t>
    </r>
    <r>
      <rPr>
        <i/>
        <sz val="12"/>
        <color indexed="62"/>
        <rFont val="Arial"/>
        <family val="2"/>
      </rPr>
      <t xml:space="preserve"> </t>
    </r>
  </si>
  <si>
    <r>
      <t>• Type de jeu (genre) :</t>
    </r>
    <r>
      <rPr>
        <i/>
        <sz val="12"/>
        <color indexed="62"/>
        <rFont val="Arial"/>
        <family val="2"/>
      </rPr>
      <t xml:space="preserve"> </t>
    </r>
  </si>
  <si>
    <t>Insérez dans ce cadre le ou les visuels illustrant le mieux votre projet</t>
  </si>
  <si>
    <t>Résumé du projet :</t>
  </si>
  <si>
    <t>Ces quelques lignes doivent faire ressortir les principales caractéristiques du jeu</t>
  </si>
  <si>
    <t>Source des images: images originales / images générées par IA / images de référence non originales</t>
  </si>
  <si>
    <t>6 - Fiche de synthèse</t>
  </si>
  <si>
    <r>
      <t xml:space="preserve">• Devis écriture:             </t>
    </r>
    <r>
      <rPr>
        <sz val="12"/>
        <color indexed="62"/>
        <rFont val="Arial"/>
        <family val="2"/>
      </rPr>
      <t xml:space="preserve"> </t>
    </r>
    <r>
      <rPr>
        <b/>
        <sz val="12"/>
        <color indexed="62"/>
        <rFont val="Arial"/>
        <family val="2"/>
      </rPr>
      <t xml:space="preserve">    </t>
    </r>
  </si>
  <si>
    <r>
      <t>• Auteurs :</t>
    </r>
    <r>
      <rPr>
        <i/>
        <sz val="12"/>
        <color indexed="62"/>
        <rFont val="Arial"/>
        <family val="2"/>
      </rPr>
      <t xml:space="preserve"> </t>
    </r>
  </si>
  <si>
    <t>- Renseigner UNIQUEMENT le résumé du projet et insérer un ou plusieurs visuels (avec la source)</t>
  </si>
  <si>
    <t xml:space="preserve">6 - </t>
  </si>
  <si>
    <t>Fiche de synthèse</t>
  </si>
  <si>
    <t>A toutes fins utiles, vous pouvez consulter la scénariothèque jeu vidéo du CNC comprenant des projets lauréats à l'écriture et ainsi comprendre les attentes de la commission.</t>
  </si>
  <si>
    <t>Game designer</t>
  </si>
  <si>
    <t>Autre</t>
  </si>
  <si>
    <t>2 - Fiche projet : présentation</t>
  </si>
  <si>
    <t>3 - Renseignements concernant les auteurs</t>
  </si>
  <si>
    <t>6-</t>
  </si>
  <si>
    <t xml:space="preserve">- la valeur ajoutée artistique de l'utilisation de l’IA </t>
  </si>
  <si>
    <t xml:space="preserve">- la mention des outils utilisés et la justification de ces choix techniques </t>
  </si>
  <si>
    <r>
      <rPr>
        <i/>
        <sz val="10"/>
        <color rgb="FFFF0000"/>
        <rFont val="Arial"/>
        <family val="2"/>
      </rPr>
      <t>(PDF de 12</t>
    </r>
    <r>
      <rPr>
        <b/>
        <i/>
        <u/>
        <sz val="10"/>
        <color rgb="FFFF0000"/>
        <rFont val="Arial"/>
        <family val="2"/>
      </rPr>
      <t xml:space="preserve"> pages / </t>
    </r>
    <r>
      <rPr>
        <i/>
        <sz val="10"/>
        <color rgb="FFFF0000"/>
        <rFont val="Arial"/>
        <family val="2"/>
      </rPr>
      <t>20Mo maximum, pour tous compléments visuels nécessaires à une meilleure appréciation artistique du projet, un lien ou plusieurs liens hypertextes peuvent etre intégrés au fichier pdf)</t>
    </r>
  </si>
  <si>
    <t>- l'évaluation des enjeux juridiques</t>
  </si>
  <si>
    <t>- l'évaluation de l'impact potentiel sur la stratégie de production (taille de l'équipe, organisation du travail, enjeux budgétaires)</t>
  </si>
  <si>
    <t xml:space="preserve">Une note d'intention "IA" en cas d'utilisation d'outils intelligence artificielle générative </t>
  </si>
  <si>
    <t>Une attention particulière est portée à l'utilisation d'outils d'intelligence artificielle qui sont susceptibles d'impacter le processus de création ou de fabrication de l'œuvre, compte tenu des risques inhérents à cette technologie. Les porteurs de projets concernés sont ainsi invités à communiquer des éléments qui concernent :</t>
  </si>
  <si>
    <t>Cheffe de service adjointe - Juliette Berthier</t>
  </si>
  <si>
    <r>
      <t xml:space="preserve">Le(s) justicatif(s) d'éligiblité - </t>
    </r>
    <r>
      <rPr>
        <i/>
        <sz val="10"/>
        <color theme="0" tint="-0.499984740745262"/>
        <rFont val="Arial"/>
        <family val="2"/>
      </rPr>
      <t>Diplôme d'une formation jeu vidéo ; tout document attestant une expérience professionnelle dans l'équipe créative d'un jeu édité.</t>
    </r>
  </si>
  <si>
    <t xml:space="preserve">Entre les soussignés : </t>
  </si>
  <si>
    <t>Prénom NOM auteur 1, Prénom NOM auteur 2, Prénom NOM auteur 3, Prénom NOM auteur 4, Prénom NOM auteur 5</t>
  </si>
  <si>
    <t>Prénom NOM auteur 1</t>
  </si>
  <si>
    <t>Prénom NOM auteur 2</t>
  </si>
  <si>
    <t>Prénom NOM auteur 3</t>
  </si>
  <si>
    <t>Prénom NOM auteur 4</t>
  </si>
  <si>
    <t>Prénom NOM auteur 5</t>
  </si>
  <si>
    <t>*Le total doit bien faire 100% (cent pour cent)</t>
  </si>
  <si>
    <t>Tous les auteurs déposants doivent figurer dans la répartition et être rémunérés</t>
  </si>
  <si>
    <t>► L'éligibilité via la formation : seules les formations diplômantes de création/conception jeu vidéo sont éligibles (game design, game art, narrative design, level design, programmation etc.)</t>
  </si>
  <si>
    <r>
      <t>► L'éligibilité via l'expérience : seules les expériences</t>
    </r>
    <r>
      <rPr>
        <u/>
        <sz val="11"/>
        <rFont val="Arial"/>
        <family val="2"/>
      </rPr>
      <t xml:space="preserve"> professionnelles</t>
    </r>
    <r>
      <rPr>
        <sz val="11"/>
        <rFont val="Arial"/>
        <family val="2"/>
      </rPr>
      <t xml:space="preserve"> directement liées à la création/conception de jeu vidéo édités commercialement sont éligibles.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</si>
</sst>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0\ &quot;€&quot;_-;\-* #,##0\ &quot;€&quot;_-;_-* &quot;-&quot;\ &quot;€&quot;_-;_-@_-"/>
    <numFmt numFmtId="44" formatCode="_-* #,##0.00\ &quot;€&quot;_-;\-* #,##0.00\ &quot;€&quot;_-;_-* &quot;-&quot;??\ &quot;€&quot;_-;_-@_-"/>
    <numFmt numFmtId="164" formatCode="#,##0\ &quot;€&quot;"/>
    <numFmt numFmtId="165" formatCode="#,##0.00\ &quot;€&quot;"/>
    <numFmt numFmtId="166" formatCode="0,;\-0,;;\ @"/>
  </numFmts>
  <fonts count="101" x14ac:knownFonts="1">
    <font>
      <sz val="10"/>
      <name val="Arial"/>
    </font>
    <font>
      <sz val="10"/>
      <name val="Arial"/>
      <family val="2"/>
    </font>
    <font>
      <sz val="26"/>
      <name val="Arial"/>
      <family val="2"/>
    </font>
    <font>
      <sz val="24"/>
      <name val="Arial"/>
      <family val="2"/>
    </font>
    <font>
      <b/>
      <sz val="10"/>
      <name val="Arial"/>
      <family val="2"/>
    </font>
    <font>
      <sz val="10"/>
      <name val="Arial"/>
      <family val="2"/>
    </font>
    <font>
      <sz val="8"/>
      <name val="Arial"/>
      <family val="2"/>
    </font>
    <font>
      <i/>
      <sz val="8"/>
      <name val="Arial"/>
      <family val="2"/>
    </font>
    <font>
      <i/>
      <sz val="10"/>
      <name val="Arial"/>
      <family val="2"/>
    </font>
    <font>
      <sz val="9"/>
      <name val="Arial"/>
      <family val="2"/>
    </font>
    <font>
      <b/>
      <sz val="9"/>
      <name val="Arial"/>
      <family val="2"/>
    </font>
    <font>
      <sz val="9"/>
      <color indexed="63"/>
      <name val="Arial"/>
      <family val="2"/>
    </font>
    <font>
      <b/>
      <sz val="9"/>
      <color indexed="63"/>
      <name val="Arial"/>
      <family val="2"/>
    </font>
    <font>
      <sz val="10"/>
      <color indexed="63"/>
      <name val="Arial"/>
      <family val="2"/>
    </font>
    <font>
      <b/>
      <sz val="9"/>
      <color indexed="62"/>
      <name val="Arial"/>
      <family val="2"/>
    </font>
    <font>
      <sz val="9"/>
      <color indexed="62"/>
      <name val="Arial"/>
      <family val="2"/>
    </font>
    <font>
      <b/>
      <u/>
      <sz val="8"/>
      <color indexed="81"/>
      <name val="Tahoma"/>
      <family val="2"/>
    </font>
    <font>
      <sz val="8"/>
      <name val="Arial"/>
      <family val="2"/>
    </font>
    <font>
      <sz val="8"/>
      <color indexed="81"/>
      <name val="Tahoma"/>
      <family val="2"/>
    </font>
    <font>
      <b/>
      <sz val="11"/>
      <name val="Arial"/>
      <family val="2"/>
    </font>
    <font>
      <sz val="10"/>
      <color indexed="23"/>
      <name val="Arial"/>
      <family val="2"/>
    </font>
    <font>
      <b/>
      <sz val="10"/>
      <color indexed="62"/>
      <name val="Arial"/>
      <family val="2"/>
    </font>
    <font>
      <b/>
      <sz val="9"/>
      <color indexed="23"/>
      <name val="Arial"/>
      <family val="2"/>
    </font>
    <font>
      <sz val="9"/>
      <color indexed="23"/>
      <name val="Arial"/>
      <family val="2"/>
    </font>
    <font>
      <b/>
      <i/>
      <sz val="10"/>
      <name val="Arial"/>
      <family val="2"/>
    </font>
    <font>
      <b/>
      <i/>
      <u/>
      <sz val="8"/>
      <name val="Arial"/>
      <family val="2"/>
    </font>
    <font>
      <b/>
      <i/>
      <sz val="8"/>
      <name val="Arial"/>
      <family val="2"/>
    </font>
    <font>
      <i/>
      <sz val="8"/>
      <color indexed="81"/>
      <name val="Tahoma"/>
      <family val="2"/>
    </font>
    <font>
      <b/>
      <sz val="8"/>
      <color indexed="81"/>
      <name val="Tahoma"/>
      <family val="2"/>
    </font>
    <font>
      <b/>
      <i/>
      <sz val="8"/>
      <color indexed="23"/>
      <name val="Arial"/>
      <family val="2"/>
    </font>
    <font>
      <b/>
      <u/>
      <sz val="9"/>
      <color indexed="62"/>
      <name val="Arial"/>
      <family val="2"/>
    </font>
    <font>
      <b/>
      <sz val="9"/>
      <color indexed="28"/>
      <name val="Arial"/>
      <family val="2"/>
    </font>
    <font>
      <sz val="9"/>
      <color indexed="54"/>
      <name val="Arial"/>
      <family val="2"/>
    </font>
    <font>
      <b/>
      <i/>
      <sz val="10"/>
      <color indexed="53"/>
      <name val="Arial"/>
      <family val="2"/>
    </font>
    <font>
      <b/>
      <sz val="9"/>
      <color indexed="17"/>
      <name val="Arial"/>
      <family val="2"/>
    </font>
    <font>
      <sz val="9"/>
      <color indexed="17"/>
      <name val="Arial"/>
      <family val="2"/>
    </font>
    <font>
      <b/>
      <sz val="10"/>
      <color indexed="17"/>
      <name val="Arial"/>
      <family val="2"/>
    </font>
    <font>
      <b/>
      <sz val="10"/>
      <color indexed="17"/>
      <name val="Arial"/>
      <family val="2"/>
    </font>
    <font>
      <sz val="10"/>
      <color indexed="17"/>
      <name val="Arial"/>
      <family val="2"/>
    </font>
    <font>
      <b/>
      <sz val="9"/>
      <color indexed="61"/>
      <name val="Arial"/>
      <family val="2"/>
    </font>
    <font>
      <sz val="9"/>
      <color indexed="61"/>
      <name val="Arial"/>
      <family val="2"/>
    </font>
    <font>
      <sz val="10"/>
      <color indexed="61"/>
      <name val="Arial"/>
      <family val="2"/>
    </font>
    <font>
      <sz val="10"/>
      <color indexed="23"/>
      <name val="Arial"/>
      <family val="2"/>
    </font>
    <font>
      <b/>
      <sz val="10"/>
      <color indexed="8"/>
      <name val="Arial"/>
      <family val="2"/>
    </font>
    <font>
      <u/>
      <sz val="10"/>
      <name val="Arial"/>
      <family val="2"/>
    </font>
    <font>
      <sz val="22"/>
      <name val="Arial"/>
      <family val="2"/>
    </font>
    <font>
      <sz val="8"/>
      <color rgb="FF000000"/>
      <name val="Tahoma"/>
      <family val="2"/>
    </font>
    <font>
      <sz val="12"/>
      <name val="Arial"/>
      <family val="2"/>
    </font>
    <font>
      <b/>
      <sz val="12"/>
      <name val="Arial"/>
      <family val="2"/>
    </font>
    <font>
      <sz val="12"/>
      <name val="Wingdings"/>
      <charset val="2"/>
    </font>
    <font>
      <u/>
      <sz val="10"/>
      <color theme="10"/>
      <name val="Arial"/>
      <family val="2"/>
    </font>
    <font>
      <b/>
      <sz val="18"/>
      <name val="Arial"/>
      <family val="2"/>
    </font>
    <font>
      <sz val="18"/>
      <name val="Arial"/>
      <family val="2"/>
    </font>
    <font>
      <b/>
      <sz val="12"/>
      <color indexed="62"/>
      <name val="Arial"/>
      <family val="2"/>
    </font>
    <font>
      <u/>
      <sz val="10"/>
      <color rgb="FFFF0000"/>
      <name val="Arial"/>
      <family val="2"/>
    </font>
    <font>
      <sz val="10"/>
      <color rgb="FFFF0000"/>
      <name val="Arial"/>
      <family val="2"/>
    </font>
    <font>
      <i/>
      <sz val="10"/>
      <color rgb="FFFF0000"/>
      <name val="Arial"/>
      <family val="2"/>
    </font>
    <font>
      <b/>
      <i/>
      <u/>
      <sz val="10"/>
      <color rgb="FFFF0000"/>
      <name val="Arial"/>
      <family val="2"/>
    </font>
    <font>
      <b/>
      <sz val="10"/>
      <color rgb="FFFF0000"/>
      <name val="Arial"/>
      <family val="2"/>
    </font>
    <font>
      <b/>
      <u/>
      <sz val="10"/>
      <color rgb="FFFF0000"/>
      <name val="Arial"/>
      <family val="2"/>
    </font>
    <font>
      <sz val="14"/>
      <name val="Arial"/>
      <family val="2"/>
    </font>
    <font>
      <b/>
      <sz val="12"/>
      <color indexed="62"/>
      <name val="Wingdings"/>
      <charset val="2"/>
    </font>
    <font>
      <i/>
      <sz val="12"/>
      <name val="Arial"/>
      <family val="2"/>
    </font>
    <font>
      <b/>
      <sz val="12"/>
      <color rgb="FFFF0000"/>
      <name val="Arial"/>
      <family val="2"/>
    </font>
    <font>
      <sz val="10"/>
      <name val="Arial"/>
      <family val="2"/>
    </font>
    <font>
      <b/>
      <sz val="12"/>
      <color theme="1"/>
      <name val="Arial"/>
      <family val="2"/>
    </font>
    <font>
      <sz val="12"/>
      <color indexed="62"/>
      <name val="Arial"/>
      <family val="2"/>
    </font>
    <font>
      <sz val="11"/>
      <name val="Arial"/>
      <family val="2"/>
    </font>
    <font>
      <i/>
      <sz val="9"/>
      <name val="Arial"/>
      <family val="2"/>
    </font>
    <font>
      <i/>
      <sz val="11"/>
      <name val="Calibri"/>
      <family val="2"/>
    </font>
    <font>
      <i/>
      <sz val="10"/>
      <color theme="0" tint="-0.499984740745262"/>
      <name val="Arial"/>
      <family val="2"/>
    </font>
    <font>
      <i/>
      <u/>
      <sz val="10"/>
      <color rgb="FFFF0000"/>
      <name val="Arial"/>
      <family val="2"/>
    </font>
    <font>
      <b/>
      <u/>
      <sz val="12"/>
      <color rgb="FFFF0000"/>
      <name val="Arial"/>
      <family val="2"/>
    </font>
    <font>
      <b/>
      <sz val="20"/>
      <name val="Arial"/>
      <family val="2"/>
    </font>
    <font>
      <b/>
      <sz val="12"/>
      <color rgb="FFCCCCFF"/>
      <name val="Arial"/>
      <family val="2"/>
    </font>
    <font>
      <i/>
      <u/>
      <sz val="9"/>
      <name val="Arial"/>
      <family val="2"/>
    </font>
    <font>
      <i/>
      <sz val="10"/>
      <color theme="1" tint="0.499984740745262"/>
      <name val="Arial"/>
      <family val="2"/>
    </font>
    <font>
      <sz val="11"/>
      <color rgb="FF040C28"/>
      <name val="Arial"/>
      <family val="2"/>
    </font>
    <font>
      <sz val="12"/>
      <color rgb="FF040C28"/>
      <name val="Arial"/>
      <family val="2"/>
    </font>
    <font>
      <i/>
      <sz val="8"/>
      <color rgb="FFFF0000"/>
      <name val="Arial"/>
      <family val="2"/>
    </font>
    <font>
      <b/>
      <sz val="11"/>
      <color rgb="FFFF0000"/>
      <name val="Arial"/>
      <family val="2"/>
    </font>
    <font>
      <b/>
      <u/>
      <sz val="14"/>
      <color rgb="FF3728A8"/>
      <name val="Arial"/>
      <family val="2"/>
    </font>
    <font>
      <sz val="14"/>
      <color rgb="FF3728A8"/>
      <name val="Arial"/>
      <family val="2"/>
    </font>
    <font>
      <b/>
      <sz val="14"/>
      <color indexed="62"/>
      <name val="Arial"/>
      <family val="2"/>
    </font>
    <font>
      <sz val="14"/>
      <color indexed="62"/>
      <name val="Arial"/>
      <family val="2"/>
    </font>
    <font>
      <b/>
      <u/>
      <sz val="14"/>
      <color indexed="62"/>
      <name val="Arial"/>
      <family val="2"/>
    </font>
    <font>
      <sz val="10"/>
      <color rgb="FF3728A8"/>
      <name val="Arial"/>
      <family val="2"/>
    </font>
    <font>
      <b/>
      <sz val="10"/>
      <color rgb="FF7030A0"/>
      <name val="Arial"/>
      <family val="2"/>
    </font>
    <font>
      <b/>
      <sz val="14"/>
      <color rgb="FF3728A8"/>
      <name val="Arial"/>
      <family val="2"/>
    </font>
    <font>
      <b/>
      <i/>
      <sz val="16"/>
      <color rgb="FF3728A8"/>
      <name val="Calibri"/>
      <family val="2"/>
    </font>
    <font>
      <sz val="16"/>
      <color rgb="FF7030A0"/>
      <name val="Arial"/>
      <family val="2"/>
    </font>
    <font>
      <b/>
      <sz val="18"/>
      <color rgb="FF00B0F0"/>
      <name val="Arial"/>
      <family val="2"/>
    </font>
    <font>
      <b/>
      <sz val="18"/>
      <color rgb="FF7030A0"/>
      <name val="Arial"/>
      <family val="2"/>
    </font>
    <font>
      <b/>
      <sz val="16"/>
      <color rgb="FF3728A8"/>
      <name val="Arial"/>
      <family val="2"/>
    </font>
    <font>
      <b/>
      <sz val="12"/>
      <color rgb="FF3728A8"/>
      <name val="Arial"/>
      <family val="2"/>
    </font>
    <font>
      <i/>
      <sz val="12"/>
      <color indexed="62"/>
      <name val="Arial"/>
      <family val="2"/>
    </font>
    <font>
      <b/>
      <sz val="16"/>
      <color rgb="FF7030A0"/>
      <name val="Arial"/>
      <family val="2"/>
    </font>
    <font>
      <i/>
      <sz val="12"/>
      <color rgb="FF3728A8"/>
      <name val="Arial"/>
      <family val="2"/>
    </font>
    <font>
      <sz val="8"/>
      <color rgb="FF3728A8"/>
      <name val="Arial"/>
      <family val="2"/>
    </font>
    <font>
      <u/>
      <sz val="11"/>
      <name val="Arial"/>
      <family val="2"/>
    </font>
    <font>
      <i/>
      <sz val="11"/>
      <name val="Arial"/>
      <family val="2"/>
    </font>
  </fonts>
  <fills count="11">
    <fill>
      <patternFill patternType="none"/>
    </fill>
    <fill>
      <patternFill patternType="gray125"/>
    </fill>
    <fill>
      <patternFill patternType="solid">
        <fgColor indexed="31"/>
        <bgColor indexed="64"/>
      </patternFill>
    </fill>
    <fill>
      <patternFill patternType="solid">
        <fgColor indexed="47"/>
        <bgColor indexed="64"/>
      </patternFill>
    </fill>
    <fill>
      <patternFill patternType="solid">
        <fgColor indexed="59"/>
        <bgColor indexed="64"/>
      </patternFill>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theme="0"/>
        <bgColor indexed="64"/>
      </patternFill>
    </fill>
    <fill>
      <patternFill patternType="solid">
        <fgColor rgb="FFCCCCFF"/>
        <bgColor indexed="64"/>
      </patternFill>
    </fill>
    <fill>
      <patternFill patternType="solid">
        <fgColor rgb="FFC0C0C0"/>
        <bgColor indexed="64"/>
      </patternFill>
    </fill>
  </fills>
  <borders count="119">
    <border>
      <left/>
      <right/>
      <top/>
      <bottom/>
      <diagonal/>
    </border>
    <border>
      <left/>
      <right/>
      <top/>
      <bottom style="thin">
        <color indexed="64"/>
      </bottom>
      <diagonal/>
    </border>
    <border>
      <left/>
      <right/>
      <top/>
      <bottom style="thin">
        <color indexed="62"/>
      </bottom>
      <diagonal/>
    </border>
    <border>
      <left style="thin">
        <color indexed="55"/>
      </left>
      <right style="thin">
        <color indexed="55"/>
      </right>
      <top/>
      <bottom style="thin">
        <color indexed="55"/>
      </bottom>
      <diagonal/>
    </border>
    <border>
      <left/>
      <right/>
      <top/>
      <bottom style="thin">
        <color indexed="54"/>
      </bottom>
      <diagonal/>
    </border>
    <border>
      <left/>
      <right/>
      <top/>
      <bottom style="thin">
        <color indexed="17"/>
      </bottom>
      <diagonal/>
    </border>
    <border>
      <left style="thin">
        <color indexed="17"/>
      </left>
      <right style="thin">
        <color indexed="17"/>
      </right>
      <top/>
      <bottom style="thin">
        <color indexed="17"/>
      </bottom>
      <diagonal/>
    </border>
    <border>
      <left style="thin">
        <color indexed="17"/>
      </left>
      <right style="medium">
        <color indexed="17"/>
      </right>
      <top/>
      <bottom style="medium">
        <color indexed="17"/>
      </bottom>
      <diagonal/>
    </border>
    <border>
      <left/>
      <right/>
      <top/>
      <bottom style="thin">
        <color indexed="50"/>
      </bottom>
      <diagonal/>
    </border>
    <border>
      <left style="thin">
        <color indexed="46"/>
      </left>
      <right style="medium">
        <color indexed="20"/>
      </right>
      <top/>
      <bottom style="medium">
        <color indexed="20"/>
      </bottom>
      <diagonal/>
    </border>
    <border>
      <left style="thin">
        <color indexed="63"/>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20"/>
      </left>
      <right/>
      <top style="thin">
        <color indexed="20"/>
      </top>
      <bottom style="medium">
        <color indexed="36"/>
      </bottom>
      <diagonal/>
    </border>
    <border>
      <left/>
      <right/>
      <top style="thin">
        <color indexed="20"/>
      </top>
      <bottom style="medium">
        <color indexed="36"/>
      </bottom>
      <diagonal/>
    </border>
    <border>
      <left/>
      <right style="medium">
        <color indexed="36"/>
      </right>
      <top style="thin">
        <color indexed="20"/>
      </top>
      <bottom style="medium">
        <color indexed="36"/>
      </bottom>
      <diagonal/>
    </border>
    <border>
      <left style="thin">
        <color indexed="23"/>
      </left>
      <right/>
      <top style="thin">
        <color indexed="23"/>
      </top>
      <bottom style="medium">
        <color indexed="23"/>
      </bottom>
      <diagonal/>
    </border>
    <border>
      <left/>
      <right/>
      <top style="thin">
        <color indexed="23"/>
      </top>
      <bottom style="medium">
        <color indexed="23"/>
      </bottom>
      <diagonal/>
    </border>
    <border>
      <left/>
      <right style="medium">
        <color indexed="23"/>
      </right>
      <top style="thin">
        <color indexed="23"/>
      </top>
      <bottom style="medium">
        <color indexed="23"/>
      </bottom>
      <diagonal/>
    </border>
    <border>
      <left style="thin">
        <color indexed="50"/>
      </left>
      <right/>
      <top style="thin">
        <color indexed="50"/>
      </top>
      <bottom style="medium">
        <color indexed="17"/>
      </bottom>
      <diagonal/>
    </border>
    <border>
      <left/>
      <right/>
      <top style="thin">
        <color indexed="50"/>
      </top>
      <bottom style="medium">
        <color indexed="17"/>
      </bottom>
      <diagonal/>
    </border>
    <border>
      <left/>
      <right style="medium">
        <color indexed="17"/>
      </right>
      <top style="thin">
        <color indexed="50"/>
      </top>
      <bottom style="medium">
        <color indexed="17"/>
      </bottom>
      <diagonal/>
    </border>
    <border>
      <left style="thin">
        <color indexed="50"/>
      </left>
      <right/>
      <top/>
      <bottom/>
      <diagonal/>
    </border>
    <border>
      <left style="thin">
        <color indexed="50"/>
      </left>
      <right/>
      <top/>
      <bottom style="thin">
        <color indexed="50"/>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auto="1"/>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3"/>
      </right>
      <top/>
      <bottom style="thin">
        <color indexed="54"/>
      </bottom>
      <diagonal/>
    </border>
    <border>
      <left/>
      <right style="thin">
        <color indexed="54"/>
      </right>
      <top/>
      <bottom style="thin">
        <color indexed="54"/>
      </bottom>
      <diagonal/>
    </border>
    <border>
      <left/>
      <right style="medium">
        <color auto="1"/>
      </right>
      <top style="hair">
        <color auto="1"/>
      </top>
      <bottom style="hair">
        <color auto="1"/>
      </bottom>
      <diagonal/>
    </border>
    <border>
      <left style="medium">
        <color rgb="FF002060"/>
      </left>
      <right/>
      <top style="medium">
        <color rgb="FF002060"/>
      </top>
      <bottom/>
      <diagonal/>
    </border>
    <border>
      <left/>
      <right/>
      <top style="medium">
        <color rgb="FF002060"/>
      </top>
      <bottom/>
      <diagonal/>
    </border>
    <border>
      <left/>
      <right style="medium">
        <color auto="1"/>
      </right>
      <top style="medium">
        <color rgb="FF002060"/>
      </top>
      <bottom/>
      <diagonal/>
    </border>
    <border>
      <left style="medium">
        <color auto="1"/>
      </left>
      <right style="medium">
        <color auto="1"/>
      </right>
      <top style="medium">
        <color rgb="FF002060"/>
      </top>
      <bottom/>
      <diagonal/>
    </border>
    <border>
      <left style="medium">
        <color rgb="FF002060"/>
      </left>
      <right/>
      <top/>
      <bottom style="hair">
        <color auto="1"/>
      </bottom>
      <diagonal/>
    </border>
    <border>
      <left style="medium">
        <color rgb="FF002060"/>
      </left>
      <right/>
      <top style="hair">
        <color auto="1"/>
      </top>
      <bottom style="hair">
        <color auto="1"/>
      </bottom>
      <diagonal/>
    </border>
    <border>
      <left/>
      <right style="medium">
        <color rgb="FF002060"/>
      </right>
      <top style="hair">
        <color auto="1"/>
      </top>
      <bottom style="hair">
        <color auto="1"/>
      </bottom>
      <diagonal/>
    </border>
    <border>
      <left/>
      <right style="medium">
        <color rgb="FF002060"/>
      </right>
      <top/>
      <bottom style="hair">
        <color auto="1"/>
      </bottom>
      <diagonal/>
    </border>
    <border>
      <left style="medium">
        <color rgb="FF002060"/>
      </left>
      <right/>
      <top/>
      <bottom style="medium">
        <color rgb="FF002060"/>
      </bottom>
      <diagonal/>
    </border>
    <border>
      <left/>
      <right/>
      <top/>
      <bottom style="medium">
        <color rgb="FF002060"/>
      </bottom>
      <diagonal/>
    </border>
    <border>
      <left/>
      <right style="medium">
        <color auto="1"/>
      </right>
      <top/>
      <bottom style="medium">
        <color rgb="FF002060"/>
      </bottom>
      <diagonal/>
    </border>
    <border>
      <left style="medium">
        <color auto="1"/>
      </left>
      <right style="medium">
        <color auto="1"/>
      </right>
      <top/>
      <bottom style="medium">
        <color rgb="FF002060"/>
      </bottom>
      <diagonal/>
    </border>
    <border>
      <left style="medium">
        <color rgb="FF002060"/>
      </left>
      <right/>
      <top style="thin">
        <color rgb="FF002060"/>
      </top>
      <bottom style="medium">
        <color rgb="FF002060"/>
      </bottom>
      <diagonal/>
    </border>
    <border>
      <left/>
      <right/>
      <top style="thin">
        <color rgb="FF002060"/>
      </top>
      <bottom style="medium">
        <color rgb="FF002060"/>
      </bottom>
      <diagonal/>
    </border>
    <border>
      <left/>
      <right style="medium">
        <color rgb="FF002060"/>
      </right>
      <top style="thin">
        <color rgb="FF002060"/>
      </top>
      <bottom style="medium">
        <color rgb="FF002060"/>
      </bottom>
      <diagonal/>
    </border>
    <border>
      <left/>
      <right style="medium">
        <color auto="1"/>
      </right>
      <top style="thin">
        <color rgb="FF002060"/>
      </top>
      <bottom style="medium">
        <color rgb="FF002060"/>
      </bottom>
      <diagonal/>
    </border>
    <border>
      <left style="medium">
        <color rgb="FF002060"/>
      </left>
      <right/>
      <top style="medium">
        <color rgb="FF002060"/>
      </top>
      <bottom style="hair">
        <color auto="1"/>
      </bottom>
      <diagonal/>
    </border>
    <border>
      <left/>
      <right/>
      <top style="medium">
        <color rgb="FF002060"/>
      </top>
      <bottom style="hair">
        <color auto="1"/>
      </bottom>
      <diagonal/>
    </border>
    <border>
      <left style="thin">
        <color auto="1"/>
      </left>
      <right/>
      <top style="medium">
        <color rgb="FF002060"/>
      </top>
      <bottom style="hair">
        <color auto="1"/>
      </bottom>
      <diagonal/>
    </border>
    <border>
      <left style="thin">
        <color rgb="FF002060"/>
      </left>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hair">
        <color indexed="64"/>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right/>
      <top/>
      <bottom style="dashed">
        <color indexed="64"/>
      </bottom>
      <diagonal/>
    </border>
    <border>
      <left/>
      <right style="dashed">
        <color indexed="64"/>
      </right>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hair">
        <color indexed="64"/>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auto="1"/>
      </right>
      <top style="medium">
        <color rgb="FF002060"/>
      </top>
      <bottom style="hair">
        <color auto="1"/>
      </bottom>
      <diagonal/>
    </border>
    <border>
      <left/>
      <right style="thin">
        <color auto="1"/>
      </right>
      <top style="medium">
        <color rgb="FF002060"/>
      </top>
      <bottom style="hair">
        <color auto="1"/>
      </bottom>
      <diagonal/>
    </border>
    <border>
      <left/>
      <right style="thin">
        <color rgb="FF002060"/>
      </right>
      <top style="hair">
        <color auto="1"/>
      </top>
      <bottom style="hair">
        <color indexed="64"/>
      </bottom>
      <diagonal/>
    </border>
    <border>
      <left/>
      <right style="thin">
        <color rgb="FF002060"/>
      </right>
      <top/>
      <bottom style="hair">
        <color indexed="64"/>
      </bottom>
      <diagonal/>
    </border>
    <border>
      <left style="thin">
        <color rgb="FF002060"/>
      </left>
      <right/>
      <top/>
      <bottom style="hair">
        <color auto="1"/>
      </bottom>
      <diagonal/>
    </border>
    <border>
      <left/>
      <right style="medium">
        <color rgb="FF002060"/>
      </right>
      <top style="thin">
        <color indexed="64"/>
      </top>
      <bottom/>
      <diagonal/>
    </border>
    <border>
      <left style="medium">
        <color rgb="FF002060"/>
      </left>
      <right style="medium">
        <color rgb="FF002060"/>
      </right>
      <top style="thin">
        <color indexed="64"/>
      </top>
      <bottom/>
      <diagonal/>
    </border>
    <border>
      <left/>
      <right style="medium">
        <color rgb="FF002060"/>
      </right>
      <top/>
      <bottom style="thin">
        <color indexed="64"/>
      </bottom>
      <diagonal/>
    </border>
    <border>
      <left style="medium">
        <color rgb="FF002060"/>
      </left>
      <right style="medium">
        <color rgb="FF002060"/>
      </right>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dotted">
        <color indexed="64"/>
      </left>
      <right/>
      <top/>
      <bottom/>
      <diagonal/>
    </border>
    <border>
      <left style="dotted">
        <color indexed="64"/>
      </left>
      <right/>
      <top/>
      <bottom style="dotted">
        <color indexed="64"/>
      </bottom>
      <diagonal/>
    </border>
    <border>
      <left/>
      <right style="hair">
        <color indexed="64"/>
      </right>
      <top/>
      <bottom style="dotted">
        <color indexed="64"/>
      </bottom>
      <diagonal/>
    </border>
    <border>
      <left style="hair">
        <color indexed="64"/>
      </left>
      <right style="hair">
        <color indexed="64"/>
      </right>
      <top/>
      <bottom style="hair">
        <color indexed="64"/>
      </bottom>
      <diagonal/>
    </border>
    <border>
      <left style="medium">
        <color rgb="FF002060"/>
      </left>
      <right style="medium">
        <color rgb="FF002060"/>
      </right>
      <top/>
      <bottom style="hair">
        <color auto="1"/>
      </bottom>
      <diagonal/>
    </border>
    <border>
      <left style="medium">
        <color rgb="FF002060"/>
      </left>
      <right style="medium">
        <color rgb="FF002060"/>
      </right>
      <top style="hair">
        <color auto="1"/>
      </top>
      <bottom style="hair">
        <color auto="1"/>
      </bottom>
      <diagonal/>
    </border>
    <border>
      <left style="medium">
        <color rgb="FF002060"/>
      </left>
      <right style="medium">
        <color rgb="FF002060"/>
      </right>
      <top style="thin">
        <color rgb="FF002060"/>
      </top>
      <bottom style="medium">
        <color rgb="FF002060"/>
      </bottom>
      <diagonal/>
    </border>
    <border>
      <left style="medium">
        <color auto="1"/>
      </left>
      <right style="medium">
        <color auto="1"/>
      </right>
      <top style="medium">
        <color rgb="FF002060"/>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style="thin">
        <color rgb="FF002060"/>
      </top>
      <bottom style="medium">
        <color rgb="FF002060"/>
      </bottom>
      <diagonal/>
    </border>
  </borders>
  <cellStyleXfs count="6">
    <xf numFmtId="0" fontId="0" fillId="0" borderId="0"/>
    <xf numFmtId="44" fontId="1" fillId="0" borderId="0" applyFont="0" applyFill="0" applyBorder="0" applyAlignment="0" applyProtection="0"/>
    <xf numFmtId="0" fontId="50" fillId="0" borderId="0" applyNumberFormat="0" applyFill="0" applyBorder="0" applyAlignment="0" applyProtection="0"/>
    <xf numFmtId="0" fontId="1" fillId="0" borderId="0"/>
    <xf numFmtId="9" fontId="1" fillId="0" borderId="0" applyFont="0" applyFill="0" applyBorder="0" applyAlignment="0" applyProtection="0"/>
    <xf numFmtId="44" fontId="64" fillId="0" borderId="0" applyFont="0" applyFill="0" applyBorder="0" applyAlignment="0" applyProtection="0"/>
  </cellStyleXfs>
  <cellXfs count="580">
    <xf numFmtId="0" fontId="0" fillId="0" borderId="0" xfId="0"/>
    <xf numFmtId="0" fontId="4" fillId="0" borderId="0" xfId="0" applyFont="1"/>
    <xf numFmtId="0" fontId="5" fillId="0" borderId="0" xfId="0" applyFont="1"/>
    <xf numFmtId="0" fontId="4" fillId="0" borderId="0" xfId="0" applyFont="1" applyAlignment="1">
      <alignment horizontal="left"/>
    </xf>
    <xf numFmtId="0" fontId="6" fillId="0" borderId="0" xfId="0" applyFont="1"/>
    <xf numFmtId="0" fontId="0" fillId="0" borderId="1" xfId="0" applyBorder="1"/>
    <xf numFmtId="0" fontId="9" fillId="0" borderId="0" xfId="0" applyFont="1"/>
    <xf numFmtId="0" fontId="10" fillId="0" borderId="0" xfId="0" applyFont="1"/>
    <xf numFmtId="0" fontId="10"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horizontal="left"/>
    </xf>
    <xf numFmtId="0" fontId="10" fillId="0" borderId="0" xfId="0" applyFont="1" applyAlignment="1">
      <alignment horizontal="left"/>
    </xf>
    <xf numFmtId="0" fontId="0" fillId="0" borderId="0" xfId="0" applyAlignment="1">
      <alignment horizontal="center"/>
    </xf>
    <xf numFmtId="0" fontId="4" fillId="0" borderId="0" xfId="0" applyFont="1" applyAlignment="1">
      <alignment horizontal="center"/>
    </xf>
    <xf numFmtId="0" fontId="19" fillId="0" borderId="0" xfId="0" applyFont="1" applyAlignment="1">
      <alignment horizontal="center"/>
    </xf>
    <xf numFmtId="0" fontId="8" fillId="0" borderId="0" xfId="0" applyFont="1"/>
    <xf numFmtId="0" fontId="23" fillId="0" borderId="3" xfId="0" applyFont="1" applyBorder="1" applyAlignment="1">
      <alignment horizontal="center"/>
    </xf>
    <xf numFmtId="0" fontId="4" fillId="0" borderId="1" xfId="0" applyFont="1" applyBorder="1"/>
    <xf numFmtId="0" fontId="7" fillId="0" borderId="0" xfId="0" applyFont="1" applyAlignment="1">
      <alignment horizontal="right"/>
    </xf>
    <xf numFmtId="0" fontId="7" fillId="0" borderId="0" xfId="0" applyFont="1"/>
    <xf numFmtId="0" fontId="25" fillId="0" borderId="0" xfId="0" applyFont="1" applyAlignment="1">
      <alignment horizontal="left"/>
    </xf>
    <xf numFmtId="0" fontId="26" fillId="0" borderId="0" xfId="0" applyFont="1" applyAlignment="1">
      <alignment horizontal="left"/>
    </xf>
    <xf numFmtId="0" fontId="10" fillId="3" borderId="0" xfId="0" applyFont="1" applyFill="1" applyAlignment="1">
      <alignment horizontal="center"/>
    </xf>
    <xf numFmtId="0" fontId="20" fillId="0" borderId="3" xfId="0" applyFont="1" applyBorder="1" applyAlignment="1">
      <alignment horizontal="center"/>
    </xf>
    <xf numFmtId="0" fontId="5" fillId="0" borderId="0" xfId="0" applyFont="1" applyAlignment="1">
      <alignment horizontal="center"/>
    </xf>
    <xf numFmtId="42" fontId="4" fillId="0" borderId="0" xfId="0" applyNumberFormat="1" applyFont="1" applyAlignment="1">
      <alignment horizontal="center"/>
    </xf>
    <xf numFmtId="0" fontId="9" fillId="0" borderId="0" xfId="0" applyFont="1" applyProtection="1">
      <protection locked="0"/>
    </xf>
    <xf numFmtId="0" fontId="22" fillId="0" borderId="0" xfId="0" applyFont="1" applyAlignment="1">
      <alignment horizontal="center" vertical="center" wrapText="1"/>
    </xf>
    <xf numFmtId="0" fontId="9" fillId="2" borderId="4" xfId="0" applyFont="1" applyFill="1" applyBorder="1" applyProtection="1">
      <protection locked="0"/>
    </xf>
    <xf numFmtId="0" fontId="23" fillId="0" borderId="0" xfId="0" applyFont="1" applyAlignment="1">
      <alignment horizontal="center"/>
    </xf>
    <xf numFmtId="0" fontId="4" fillId="0" borderId="0" xfId="0" applyFont="1" applyProtection="1">
      <protection locked="0"/>
    </xf>
    <xf numFmtId="0" fontId="20" fillId="0" borderId="0" xfId="0" applyFont="1" applyAlignment="1">
      <alignment horizontal="center"/>
    </xf>
    <xf numFmtId="0" fontId="9" fillId="2" borderId="0" xfId="0" applyFont="1" applyFill="1" applyProtection="1">
      <protection locked="0"/>
    </xf>
    <xf numFmtId="42" fontId="4" fillId="0" borderId="0" xfId="0" applyNumberFormat="1" applyFont="1" applyProtection="1">
      <protection locked="0"/>
    </xf>
    <xf numFmtId="0" fontId="24" fillId="0" borderId="0" xfId="0" applyFont="1"/>
    <xf numFmtId="0" fontId="33" fillId="0" borderId="0" xfId="0" applyFont="1"/>
    <xf numFmtId="0" fontId="5" fillId="4" borderId="5" xfId="0" applyFont="1" applyFill="1" applyBorder="1" applyAlignment="1">
      <alignment horizontal="left"/>
    </xf>
    <xf numFmtId="0" fontId="9" fillId="4" borderId="5" xfId="0" applyFont="1" applyFill="1" applyBorder="1" applyAlignment="1">
      <alignment horizontal="left"/>
    </xf>
    <xf numFmtId="0" fontId="9" fillId="4" borderId="4" xfId="0" applyFont="1" applyFill="1" applyBorder="1" applyProtection="1">
      <protection locked="0"/>
    </xf>
    <xf numFmtId="0" fontId="9" fillId="4" borderId="5" xfId="0" applyFont="1" applyFill="1" applyBorder="1" applyProtection="1">
      <protection locked="0"/>
    </xf>
    <xf numFmtId="0" fontId="9" fillId="4" borderId="0" xfId="0" applyFont="1" applyFill="1" applyProtection="1">
      <protection locked="0"/>
    </xf>
    <xf numFmtId="0" fontId="35" fillId="0" borderId="6" xfId="0" applyFont="1" applyBorder="1" applyAlignment="1">
      <alignment horizontal="center"/>
    </xf>
    <xf numFmtId="0" fontId="35" fillId="0" borderId="0" xfId="0" applyFont="1"/>
    <xf numFmtId="0" fontId="35" fillId="0" borderId="0" xfId="0" applyFont="1" applyAlignment="1">
      <alignment horizontal="center"/>
    </xf>
    <xf numFmtId="0" fontId="35" fillId="0" borderId="7" xfId="0" applyFont="1" applyBorder="1" applyAlignment="1">
      <alignment horizontal="center"/>
    </xf>
    <xf numFmtId="0" fontId="21" fillId="0" borderId="0" xfId="0" applyFont="1" applyAlignment="1">
      <alignment horizontal="center" vertical="center"/>
    </xf>
    <xf numFmtId="0" fontId="36" fillId="0" borderId="7" xfId="0" applyFont="1" applyBorder="1" applyAlignment="1">
      <alignment horizontal="center"/>
    </xf>
    <xf numFmtId="0" fontId="9" fillId="6" borderId="4" xfId="0" applyFont="1" applyFill="1" applyBorder="1" applyProtection="1">
      <protection locked="0"/>
    </xf>
    <xf numFmtId="0" fontId="37" fillId="0" borderId="7" xfId="0" applyFont="1" applyBorder="1" applyAlignment="1">
      <alignment horizontal="center"/>
    </xf>
    <xf numFmtId="0" fontId="37" fillId="0" borderId="0" xfId="0" applyFont="1" applyAlignment="1">
      <alignment horizontal="center" vertical="center"/>
    </xf>
    <xf numFmtId="0" fontId="38" fillId="0" borderId="0" xfId="0" applyFont="1"/>
    <xf numFmtId="0" fontId="5" fillId="4" borderId="0" xfId="0" applyFont="1" applyFill="1"/>
    <xf numFmtId="0" fontId="36" fillId="0" borderId="0" xfId="0" quotePrefix="1" applyFont="1"/>
    <xf numFmtId="0" fontId="4" fillId="0" borderId="8" xfId="0" applyFont="1" applyBorder="1"/>
    <xf numFmtId="0" fontId="5" fillId="0" borderId="8" xfId="0" applyFont="1" applyBorder="1"/>
    <xf numFmtId="0" fontId="4" fillId="0" borderId="5" xfId="0" applyFont="1" applyBorder="1"/>
    <xf numFmtId="0" fontId="5" fillId="0" borderId="5" xfId="0" applyFont="1" applyBorder="1"/>
    <xf numFmtId="0" fontId="0" fillId="0" borderId="5" xfId="0" applyBorder="1"/>
    <xf numFmtId="0" fontId="0" fillId="0" borderId="8" xfId="0" applyBorder="1"/>
    <xf numFmtId="0" fontId="40" fillId="0" borderId="0" xfId="0" applyFont="1"/>
    <xf numFmtId="0" fontId="40" fillId="0" borderId="0" xfId="0" applyFont="1" applyAlignment="1">
      <alignment horizontal="center"/>
    </xf>
    <xf numFmtId="0" fontId="40" fillId="0" borderId="9" xfId="0" applyFont="1" applyBorder="1" applyAlignment="1">
      <alignment horizontal="center"/>
    </xf>
    <xf numFmtId="0" fontId="41" fillId="0" borderId="0" xfId="0" applyFont="1"/>
    <xf numFmtId="0" fontId="42" fillId="0" borderId="0" xfId="0" applyFont="1"/>
    <xf numFmtId="0" fontId="4" fillId="0" borderId="0" xfId="0" applyFont="1" applyAlignment="1" applyProtection="1">
      <alignment horizontal="left"/>
      <protection locked="0"/>
    </xf>
    <xf numFmtId="0" fontId="31" fillId="0" borderId="0" xfId="0" applyFont="1" applyAlignment="1">
      <alignment horizontal="center" vertical="center"/>
    </xf>
    <xf numFmtId="0" fontId="9" fillId="0" borderId="0" xfId="0" applyFont="1" applyAlignment="1" applyProtection="1">
      <alignment horizontal="center"/>
      <protection locked="0"/>
    </xf>
    <xf numFmtId="0" fontId="0" fillId="5" borderId="0" xfId="0" applyFill="1"/>
    <xf numFmtId="3" fontId="4" fillId="5" borderId="0" xfId="0" applyNumberFormat="1" applyFont="1" applyFill="1" applyAlignment="1" applyProtection="1">
      <alignment horizontal="left"/>
      <protection locked="0"/>
    </xf>
    <xf numFmtId="0" fontId="3" fillId="0" borderId="0" xfId="0" applyFont="1" applyAlignment="1">
      <alignment horizontal="center" vertical="center"/>
    </xf>
    <xf numFmtId="0" fontId="19" fillId="0" borderId="0" xfId="0" applyFont="1"/>
    <xf numFmtId="0" fontId="43" fillId="5" borderId="0" xfId="0" applyFont="1" applyFill="1" applyAlignment="1">
      <alignment horizontal="center"/>
    </xf>
    <xf numFmtId="42" fontId="10" fillId="0" borderId="0" xfId="0" applyNumberFormat="1" applyFont="1" applyAlignment="1">
      <alignment horizontal="center"/>
    </xf>
    <xf numFmtId="0" fontId="3" fillId="0" borderId="0" xfId="0" applyFont="1" applyAlignment="1">
      <alignment horizontal="center" vertical="center" wrapText="1"/>
    </xf>
    <xf numFmtId="0" fontId="0" fillId="0" borderId="0" xfId="0" applyAlignment="1">
      <alignment vertical="center"/>
    </xf>
    <xf numFmtId="0" fontId="0" fillId="8" borderId="0" xfId="0" applyFill="1"/>
    <xf numFmtId="0" fontId="5" fillId="0" borderId="0" xfId="0" applyFont="1" applyAlignment="1" applyProtection="1">
      <alignment vertical="top"/>
      <protection locked="0"/>
    </xf>
    <xf numFmtId="0" fontId="32" fillId="0" borderId="0" xfId="0" applyFont="1"/>
    <xf numFmtId="0" fontId="14" fillId="0" borderId="0" xfId="0" applyFont="1" applyAlignment="1">
      <alignment vertical="center"/>
    </xf>
    <xf numFmtId="0" fontId="1" fillId="0" borderId="0" xfId="0" applyFont="1"/>
    <xf numFmtId="49" fontId="1" fillId="0" borderId="0" xfId="0" applyNumberFormat="1" applyFont="1"/>
    <xf numFmtId="0" fontId="47" fillId="0" borderId="0" xfId="0" applyFont="1"/>
    <xf numFmtId="0" fontId="49" fillId="0" borderId="0" xfId="0" applyFont="1"/>
    <xf numFmtId="0" fontId="4" fillId="0" borderId="0" xfId="3" applyFont="1"/>
    <xf numFmtId="42" fontId="9" fillId="0" borderId="0" xfId="0" applyNumberFormat="1" applyFont="1" applyAlignment="1">
      <alignment horizontal="center"/>
    </xf>
    <xf numFmtId="42" fontId="9" fillId="0" borderId="0" xfId="0" applyNumberFormat="1" applyFont="1" applyAlignment="1" applyProtection="1">
      <alignment horizontal="center"/>
      <protection locked="0"/>
    </xf>
    <xf numFmtId="0" fontId="44" fillId="0" borderId="0" xfId="0" applyFont="1"/>
    <xf numFmtId="0" fontId="44" fillId="0" borderId="19" xfId="0" applyFont="1" applyBorder="1"/>
    <xf numFmtId="0" fontId="44" fillId="0" borderId="15" xfId="0" applyFont="1" applyBorder="1"/>
    <xf numFmtId="0" fontId="5" fillId="0" borderId="15" xfId="0" applyFont="1" applyBorder="1" applyAlignment="1" applyProtection="1">
      <alignment vertical="top"/>
      <protection locked="0"/>
    </xf>
    <xf numFmtId="0" fontId="5" fillId="0" borderId="11" xfId="0" applyFont="1" applyBorder="1" applyAlignment="1" applyProtection="1">
      <alignment vertical="top"/>
      <protection locked="0"/>
    </xf>
    <xf numFmtId="0" fontId="0" fillId="0" borderId="34" xfId="0" applyBorder="1"/>
    <xf numFmtId="0" fontId="5" fillId="0" borderId="12" xfId="0" applyFont="1" applyBorder="1" applyAlignment="1" applyProtection="1">
      <alignment vertical="top"/>
      <protection locked="0"/>
    </xf>
    <xf numFmtId="0" fontId="0" fillId="0" borderId="12" xfId="0" applyBorder="1"/>
    <xf numFmtId="0" fontId="0" fillId="0" borderId="14" xfId="0" applyBorder="1"/>
    <xf numFmtId="0" fontId="0" fillId="0" borderId="13" xfId="0" applyBorder="1"/>
    <xf numFmtId="0" fontId="5" fillId="0" borderId="1" xfId="0" applyFont="1" applyBorder="1"/>
    <xf numFmtId="0" fontId="15" fillId="0" borderId="0" xfId="0" applyFont="1" applyAlignment="1">
      <alignment horizontal="center" vertical="center"/>
    </xf>
    <xf numFmtId="0" fontId="48" fillId="0" borderId="0" xfId="0" applyFont="1" applyAlignment="1">
      <alignment horizontal="left" vertical="center"/>
    </xf>
    <xf numFmtId="0" fontId="48" fillId="0" borderId="0" xfId="0" applyFont="1" applyAlignment="1">
      <alignment vertical="center"/>
    </xf>
    <xf numFmtId="0" fontId="10" fillId="0" borderId="0" xfId="0" applyFont="1" applyAlignment="1">
      <alignment vertical="center"/>
    </xf>
    <xf numFmtId="0" fontId="10" fillId="0" borderId="0" xfId="0" applyFont="1" applyProtection="1">
      <protection locked="0"/>
    </xf>
    <xf numFmtId="0" fontId="51" fillId="0" borderId="0" xfId="0" applyFont="1" applyAlignment="1">
      <alignment vertical="center"/>
    </xf>
    <xf numFmtId="0" fontId="47" fillId="0" borderId="0" xfId="0" applyFont="1" applyAlignment="1">
      <alignment vertical="center"/>
    </xf>
    <xf numFmtId="42" fontId="9" fillId="0" borderId="0" xfId="0" applyNumberFormat="1" applyFont="1" applyProtection="1">
      <protection locked="0"/>
    </xf>
    <xf numFmtId="0" fontId="51" fillId="0" borderId="0" xfId="0" applyFont="1" applyProtection="1">
      <protection locked="0"/>
    </xf>
    <xf numFmtId="0" fontId="47" fillId="0" borderId="0" xfId="0" applyFont="1" applyProtection="1">
      <protection locked="0"/>
    </xf>
    <xf numFmtId="0" fontId="4" fillId="8" borderId="0" xfId="0" applyFont="1" applyFill="1"/>
    <xf numFmtId="0" fontId="4" fillId="8" borderId="0" xfId="0" applyFont="1" applyFill="1" applyAlignment="1">
      <alignment horizontal="center"/>
    </xf>
    <xf numFmtId="0" fontId="4" fillId="5" borderId="0" xfId="0" applyFont="1" applyFill="1"/>
    <xf numFmtId="0" fontId="1" fillId="0" borderId="0" xfId="3"/>
    <xf numFmtId="0" fontId="4" fillId="0" borderId="1" xfId="3" applyFont="1" applyBorder="1"/>
    <xf numFmtId="10" fontId="1" fillId="0" borderId="0" xfId="0" applyNumberFormat="1" applyFont="1" applyAlignment="1">
      <alignment horizontal="left"/>
    </xf>
    <xf numFmtId="0" fontId="55" fillId="0" borderId="0" xfId="0" applyFont="1"/>
    <xf numFmtId="0" fontId="48" fillId="0" borderId="0" xfId="0" applyFont="1" applyAlignment="1">
      <alignment horizontal="center"/>
    </xf>
    <xf numFmtId="0" fontId="48" fillId="0" borderId="0" xfId="0" applyFont="1"/>
    <xf numFmtId="0" fontId="4" fillId="0" borderId="0" xfId="0" applyFont="1" applyAlignment="1">
      <alignment horizontal="left" vertical="center"/>
    </xf>
    <xf numFmtId="0" fontId="56" fillId="0" borderId="0" xfId="0" applyFont="1" applyAlignment="1">
      <alignment horizontal="left" vertical="center"/>
    </xf>
    <xf numFmtId="0" fontId="55" fillId="0" borderId="0" xfId="0" applyFont="1" applyAlignment="1">
      <alignment horizontal="left" vertical="center"/>
    </xf>
    <xf numFmtId="0" fontId="1" fillId="0" borderId="0" xfId="0" applyFont="1" applyAlignment="1">
      <alignment horizontal="left"/>
    </xf>
    <xf numFmtId="0" fontId="10" fillId="0" borderId="0" xfId="3" applyFont="1" applyAlignment="1">
      <alignment horizontal="center"/>
    </xf>
    <xf numFmtId="0" fontId="9" fillId="0" borderId="0" xfId="3" applyFont="1"/>
    <xf numFmtId="0" fontId="10" fillId="0" borderId="0" xfId="3" applyFont="1"/>
    <xf numFmtId="0" fontId="13" fillId="0" borderId="0" xfId="3" applyFont="1"/>
    <xf numFmtId="0" fontId="11" fillId="0" borderId="0" xfId="3" applyFont="1"/>
    <xf numFmtId="0" fontId="12" fillId="0" borderId="0" xfId="3" applyFont="1"/>
    <xf numFmtId="0" fontId="4" fillId="0" borderId="0" xfId="3" applyFont="1" applyAlignment="1">
      <alignment horizontal="left"/>
    </xf>
    <xf numFmtId="0" fontId="1" fillId="0" borderId="0" xfId="3" applyAlignment="1">
      <alignment vertical="center"/>
    </xf>
    <xf numFmtId="0" fontId="1" fillId="0" borderId="0" xfId="3" applyAlignment="1">
      <alignment horizontal="left" vertical="center"/>
    </xf>
    <xf numFmtId="0" fontId="1" fillId="0" borderId="0" xfId="3" applyAlignment="1">
      <alignment horizontal="center"/>
    </xf>
    <xf numFmtId="0" fontId="1" fillId="0" borderId="0" xfId="3" applyAlignment="1">
      <alignment horizontal="left"/>
    </xf>
    <xf numFmtId="0" fontId="1" fillId="5" borderId="0" xfId="3" applyFill="1"/>
    <xf numFmtId="0" fontId="1" fillId="5" borderId="10" xfId="3" applyFill="1" applyBorder="1"/>
    <xf numFmtId="0" fontId="47" fillId="0" borderId="0" xfId="0" applyFont="1" applyAlignment="1">
      <alignment horizontal="left"/>
    </xf>
    <xf numFmtId="0" fontId="1" fillId="5" borderId="0" xfId="0" applyFont="1" applyFill="1"/>
    <xf numFmtId="0" fontId="4" fillId="8" borderId="0" xfId="0" applyFont="1" applyFill="1" applyProtection="1">
      <protection locked="0"/>
    </xf>
    <xf numFmtId="0" fontId="4" fillId="2" borderId="4" xfId="0" applyFont="1" applyFill="1" applyBorder="1" applyProtection="1">
      <protection locked="0"/>
    </xf>
    <xf numFmtId="0" fontId="4" fillId="2" borderId="53" xfId="0" applyFont="1" applyFill="1" applyBorder="1" applyProtection="1">
      <protection locked="0"/>
    </xf>
    <xf numFmtId="0" fontId="0" fillId="5" borderId="0" xfId="0" applyFill="1" applyAlignment="1">
      <alignment vertical="center"/>
    </xf>
    <xf numFmtId="0" fontId="4" fillId="8" borderId="0" xfId="0" applyFont="1" applyFill="1" applyAlignment="1" applyProtection="1">
      <alignment vertical="center"/>
      <protection locked="0"/>
    </xf>
    <xf numFmtId="0" fontId="4" fillId="2" borderId="4" xfId="0" applyFont="1" applyFill="1" applyBorder="1" applyAlignment="1" applyProtection="1">
      <alignment vertical="center"/>
      <protection locked="0"/>
    </xf>
    <xf numFmtId="0" fontId="4" fillId="2" borderId="53" xfId="0" applyFont="1" applyFill="1" applyBorder="1" applyAlignment="1" applyProtection="1">
      <alignment vertical="center"/>
      <protection locked="0"/>
    </xf>
    <xf numFmtId="0" fontId="1" fillId="5" borderId="0" xfId="3" applyFill="1" applyAlignment="1">
      <alignment vertical="center"/>
    </xf>
    <xf numFmtId="0" fontId="10" fillId="8" borderId="0" xfId="0" applyFont="1" applyFill="1" applyAlignment="1" applyProtection="1">
      <alignment horizontal="left"/>
      <protection locked="0"/>
    </xf>
    <xf numFmtId="0" fontId="54" fillId="0" borderId="0" xfId="0" applyFont="1" applyAlignment="1">
      <alignment vertical="center"/>
    </xf>
    <xf numFmtId="0" fontId="55" fillId="0" borderId="0" xfId="0" applyFont="1" applyAlignment="1" applyProtection="1">
      <alignment vertical="center"/>
      <protection locked="0"/>
    </xf>
    <xf numFmtId="0" fontId="1" fillId="0" borderId="0" xfId="0" applyFont="1" applyAlignment="1">
      <alignment wrapText="1"/>
    </xf>
    <xf numFmtId="0" fontId="1" fillId="0" borderId="0" xfId="0" applyFont="1" applyAlignment="1">
      <alignment vertical="center"/>
    </xf>
    <xf numFmtId="0" fontId="1" fillId="0" borderId="0" xfId="0" quotePrefix="1" applyFont="1"/>
    <xf numFmtId="0" fontId="47" fillId="0" borderId="79" xfId="0" applyFont="1" applyBorder="1"/>
    <xf numFmtId="0" fontId="1" fillId="0" borderId="0" xfId="0" applyFont="1" applyAlignment="1">
      <alignment horizontal="center" vertical="center"/>
    </xf>
    <xf numFmtId="0" fontId="1" fillId="0" borderId="1" xfId="0" applyFont="1" applyBorder="1"/>
    <xf numFmtId="0" fontId="1" fillId="0" borderId="0" xfId="0" applyFont="1" applyAlignment="1">
      <alignment horizontal="left" vertical="center"/>
    </xf>
    <xf numFmtId="0" fontId="1" fillId="0" borderId="0" xfId="0" applyFont="1" applyProtection="1">
      <protection locked="0"/>
    </xf>
    <xf numFmtId="0" fontId="66" fillId="9" borderId="39" xfId="0" applyFont="1" applyFill="1" applyBorder="1" applyAlignment="1">
      <alignment vertical="center"/>
    </xf>
    <xf numFmtId="0" fontId="1" fillId="0" borderId="0" xfId="0" applyFont="1" applyAlignment="1" applyProtection="1">
      <alignment horizontal="left"/>
      <protection locked="0"/>
    </xf>
    <xf numFmtId="0" fontId="1" fillId="8" borderId="0" xfId="0" applyFont="1" applyFill="1"/>
    <xf numFmtId="0" fontId="1" fillId="8" borderId="0" xfId="0" applyFont="1" applyFill="1" applyAlignment="1">
      <alignment horizontal="left"/>
    </xf>
    <xf numFmtId="0" fontId="1" fillId="0" borderId="1" xfId="3" applyBorder="1"/>
    <xf numFmtId="0" fontId="67" fillId="0" borderId="0" xfId="0" applyFont="1" applyAlignment="1">
      <alignment horizontal="justify" vertical="center"/>
    </xf>
    <xf numFmtId="0" fontId="47" fillId="0" borderId="0" xfId="3" applyFont="1" applyAlignment="1">
      <alignment horizontal="left" vertical="center"/>
    </xf>
    <xf numFmtId="0" fontId="67" fillId="0" borderId="0" xfId="0" applyFont="1" applyAlignment="1">
      <alignment vertical="center"/>
    </xf>
    <xf numFmtId="0" fontId="50" fillId="0" borderId="0" xfId="2" applyBorder="1"/>
    <xf numFmtId="0" fontId="59" fillId="0" borderId="0" xfId="3" applyFont="1" applyAlignment="1">
      <alignment vertical="center"/>
    </xf>
    <xf numFmtId="0" fontId="63" fillId="0" borderId="0" xfId="0" applyFont="1" applyAlignment="1">
      <alignment horizontal="center" vertical="center"/>
    </xf>
    <xf numFmtId="0" fontId="0" fillId="5" borderId="78" xfId="0" applyFill="1" applyBorder="1"/>
    <xf numFmtId="0" fontId="0" fillId="5" borderId="79" xfId="0" applyFill="1" applyBorder="1"/>
    <xf numFmtId="0" fontId="0" fillId="5" borderId="80" xfId="0" applyFill="1" applyBorder="1"/>
    <xf numFmtId="0" fontId="0" fillId="8" borderId="75" xfId="0" applyFill="1" applyBorder="1"/>
    <xf numFmtId="0" fontId="0" fillId="8" borderId="76" xfId="0" applyFill="1" applyBorder="1"/>
    <xf numFmtId="0" fontId="0" fillId="8" borderId="77" xfId="0" applyFill="1" applyBorder="1"/>
    <xf numFmtId="0" fontId="1" fillId="8" borderId="0" xfId="0" applyFont="1" applyFill="1" applyProtection="1">
      <protection locked="0"/>
    </xf>
    <xf numFmtId="0" fontId="1" fillId="8" borderId="34" xfId="0" applyFont="1" applyFill="1" applyBorder="1" applyProtection="1">
      <protection locked="0"/>
    </xf>
    <xf numFmtId="0" fontId="0" fillId="8" borderId="12" xfId="0" applyFill="1" applyBorder="1"/>
    <xf numFmtId="0" fontId="0" fillId="8" borderId="34" xfId="0" applyFill="1" applyBorder="1"/>
    <xf numFmtId="0" fontId="0" fillId="5" borderId="34" xfId="0" applyFill="1" applyBorder="1"/>
    <xf numFmtId="0" fontId="0" fillId="5" borderId="12" xfId="0" applyFill="1" applyBorder="1"/>
    <xf numFmtId="0" fontId="69" fillId="0" borderId="0" xfId="0" applyFont="1" applyAlignment="1">
      <alignment horizontal="left" vertical="center" indent="3"/>
    </xf>
    <xf numFmtId="0" fontId="8" fillId="5" borderId="0" xfId="0" applyFont="1" applyFill="1"/>
    <xf numFmtId="0" fontId="1" fillId="8" borderId="0" xfId="3" applyFill="1"/>
    <xf numFmtId="0" fontId="0" fillId="8" borderId="0" xfId="0" applyFill="1" applyAlignment="1">
      <alignment horizontal="left"/>
    </xf>
    <xf numFmtId="0" fontId="9" fillId="0" borderId="0" xfId="3" applyFont="1" applyAlignment="1" applyProtection="1">
      <alignment horizontal="left"/>
      <protection locked="0"/>
    </xf>
    <xf numFmtId="0" fontId="9" fillId="0" borderId="0" xfId="3" applyFont="1" applyProtection="1">
      <protection locked="0"/>
    </xf>
    <xf numFmtId="0" fontId="7" fillId="0" borderId="0" xfId="3" applyFont="1"/>
    <xf numFmtId="0" fontId="59" fillId="0" borderId="0" xfId="0" applyFont="1"/>
    <xf numFmtId="0" fontId="45" fillId="0" borderId="0" xfId="0" applyFont="1" applyAlignment="1">
      <alignment vertical="center" wrapText="1"/>
    </xf>
    <xf numFmtId="0" fontId="72" fillId="0" borderId="0" xfId="2" applyFont="1" applyFill="1" applyAlignment="1">
      <alignment horizontal="left"/>
    </xf>
    <xf numFmtId="0" fontId="4" fillId="0" borderId="0" xfId="3" applyFont="1" applyAlignment="1">
      <alignment horizontal="center"/>
    </xf>
    <xf numFmtId="0" fontId="0" fillId="0" borderId="0" xfId="0" applyProtection="1">
      <protection locked="0"/>
    </xf>
    <xf numFmtId="0" fontId="68" fillId="8" borderId="0" xfId="0" applyFont="1" applyFill="1"/>
    <xf numFmtId="0" fontId="68" fillId="0" borderId="0" xfId="0" applyFont="1"/>
    <xf numFmtId="42" fontId="9" fillId="0" borderId="48" xfId="0" applyNumberFormat="1" applyFont="1" applyBorder="1" applyProtection="1">
      <protection locked="0"/>
    </xf>
    <xf numFmtId="0" fontId="10" fillId="0" borderId="48" xfId="0" applyFont="1" applyBorder="1"/>
    <xf numFmtId="42" fontId="47" fillId="0" borderId="0" xfId="0" applyNumberFormat="1" applyFont="1" applyProtection="1">
      <protection locked="0"/>
    </xf>
    <xf numFmtId="0" fontId="9" fillId="0" borderId="48" xfId="0" applyFont="1" applyBorder="1"/>
    <xf numFmtId="0" fontId="14" fillId="0" borderId="75" xfId="0" applyFont="1" applyBorder="1" applyAlignment="1">
      <alignment vertical="center"/>
    </xf>
    <xf numFmtId="0" fontId="14" fillId="0" borderId="76" xfId="0" applyFont="1" applyBorder="1" applyAlignment="1">
      <alignment vertical="center"/>
    </xf>
    <xf numFmtId="0" fontId="9" fillId="0" borderId="76" xfId="0" applyFont="1" applyBorder="1" applyAlignment="1">
      <alignment horizontal="center" vertical="center"/>
    </xf>
    <xf numFmtId="0" fontId="15" fillId="0" borderId="76" xfId="0" applyFont="1" applyBorder="1" applyAlignment="1">
      <alignment horizontal="center" vertical="center"/>
    </xf>
    <xf numFmtId="0" fontId="15" fillId="0" borderId="77" xfId="0" applyFont="1" applyBorder="1" applyAlignment="1">
      <alignment horizontal="center" vertical="center"/>
    </xf>
    <xf numFmtId="0" fontId="14" fillId="0" borderId="34" xfId="0" applyFont="1" applyBorder="1" applyAlignment="1">
      <alignment vertical="center"/>
    </xf>
    <xf numFmtId="0" fontId="10" fillId="0" borderId="12" xfId="0" applyFont="1" applyBorder="1" applyAlignment="1">
      <alignment vertical="center"/>
    </xf>
    <xf numFmtId="0" fontId="9" fillId="0" borderId="34" xfId="0" applyFont="1" applyBorder="1"/>
    <xf numFmtId="0" fontId="9" fillId="0" borderId="12" xfId="0" applyFont="1" applyBorder="1"/>
    <xf numFmtId="42" fontId="9" fillId="0" borderId="12" xfId="0" applyNumberFormat="1" applyFont="1" applyBorder="1" applyAlignment="1">
      <alignment horizontal="center"/>
    </xf>
    <xf numFmtId="0" fontId="10" fillId="0" borderId="34" xfId="0" applyFont="1" applyBorder="1" applyProtection="1">
      <protection locked="0"/>
    </xf>
    <xf numFmtId="0" fontId="14" fillId="0" borderId="78" xfId="0" applyFont="1" applyBorder="1" applyAlignment="1">
      <alignment vertical="center"/>
    </xf>
    <xf numFmtId="0" fontId="14" fillId="0" borderId="79" xfId="0" applyFont="1" applyBorder="1" applyAlignment="1">
      <alignment vertical="center"/>
    </xf>
    <xf numFmtId="0" fontId="9" fillId="0" borderId="79"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30" fillId="0" borderId="0" xfId="0" applyFont="1" applyAlignment="1">
      <alignment horizontal="center" vertical="center" wrapText="1"/>
    </xf>
    <xf numFmtId="0" fontId="10" fillId="0" borderId="0" xfId="0" applyFont="1" applyAlignment="1">
      <alignment horizontal="center" vertical="center"/>
    </xf>
    <xf numFmtId="0" fontId="47" fillId="0" borderId="0" xfId="0" applyFont="1" applyAlignment="1">
      <alignment horizontal="left" vertical="center" wrapText="1"/>
    </xf>
    <xf numFmtId="0" fontId="60" fillId="0" borderId="0" xfId="0" applyFont="1"/>
    <xf numFmtId="0" fontId="75" fillId="0" borderId="0" xfId="0" applyFont="1"/>
    <xf numFmtId="0" fontId="4" fillId="0" borderId="79" xfId="0" applyFont="1" applyBorder="1"/>
    <xf numFmtId="0" fontId="1" fillId="0" borderId="79" xfId="0" applyFont="1" applyBorder="1"/>
    <xf numFmtId="0" fontId="77" fillId="0" borderId="0" xfId="0" applyFont="1" applyAlignment="1">
      <alignment horizontal="center" vertical="center"/>
    </xf>
    <xf numFmtId="0" fontId="78" fillId="0" borderId="0" xfId="0" applyFont="1" applyAlignment="1">
      <alignment horizontal="center" vertical="center"/>
    </xf>
    <xf numFmtId="0" fontId="79" fillId="0" borderId="0" xfId="3" applyFont="1"/>
    <xf numFmtId="0" fontId="47" fillId="0" borderId="0" xfId="0" applyFont="1" applyAlignment="1">
      <alignment vertical="center" wrapText="1"/>
    </xf>
    <xf numFmtId="0" fontId="50" fillId="0" borderId="0" xfId="2" applyFill="1" applyBorder="1" applyAlignment="1">
      <alignment horizontal="left" vertical="center" wrapText="1"/>
    </xf>
    <xf numFmtId="0" fontId="1" fillId="0" borderId="0" xfId="0" applyFont="1" applyAlignment="1" applyProtection="1">
      <alignment horizontal="center"/>
      <protection locked="0"/>
    </xf>
    <xf numFmtId="0" fontId="48" fillId="9" borderId="79" xfId="0" applyFont="1" applyFill="1" applyBorder="1" applyAlignment="1">
      <alignment horizontal="center"/>
    </xf>
    <xf numFmtId="0" fontId="10" fillId="2" borderId="4" xfId="0" applyFont="1" applyFill="1" applyBorder="1" applyAlignment="1" applyProtection="1">
      <alignment horizontal="left"/>
      <protection locked="0"/>
    </xf>
    <xf numFmtId="0" fontId="73" fillId="0" borderId="106" xfId="3" applyFont="1" applyBorder="1" applyAlignment="1">
      <alignment horizontal="center" vertical="center"/>
    </xf>
    <xf numFmtId="0" fontId="1" fillId="0" borderId="0" xfId="3" applyAlignment="1">
      <alignment horizontal="center" vertical="center"/>
    </xf>
    <xf numFmtId="0" fontId="3" fillId="0" borderId="0" xfId="3" applyFont="1" applyAlignment="1">
      <alignment horizontal="center" vertical="center" wrapText="1"/>
    </xf>
    <xf numFmtId="0" fontId="1" fillId="0" borderId="0" xfId="3" applyProtection="1">
      <protection locked="0"/>
    </xf>
    <xf numFmtId="0" fontId="81" fillId="0" borderId="0" xfId="3" applyFont="1"/>
    <xf numFmtId="0" fontId="82" fillId="0" borderId="0" xfId="3" quotePrefix="1" applyFont="1"/>
    <xf numFmtId="0" fontId="82" fillId="0" borderId="0" xfId="3" applyFont="1"/>
    <xf numFmtId="0" fontId="86" fillId="0" borderId="0" xfId="3" applyFont="1"/>
    <xf numFmtId="0" fontId="87" fillId="0" borderId="0" xfId="3" applyFont="1"/>
    <xf numFmtId="0" fontId="88" fillId="0" borderId="0" xfId="3" quotePrefix="1" applyFont="1"/>
    <xf numFmtId="0" fontId="88" fillId="0" borderId="0" xfId="3" applyFont="1"/>
    <xf numFmtId="0" fontId="89" fillId="0" borderId="0" xfId="3" applyFont="1"/>
    <xf numFmtId="0" fontId="7" fillId="0" borderId="0" xfId="3" applyFont="1" applyAlignment="1">
      <alignment horizontal="right"/>
    </xf>
    <xf numFmtId="0" fontId="1" fillId="0" borderId="0" xfId="3" applyAlignment="1">
      <alignment horizontal="right"/>
    </xf>
    <xf numFmtId="0" fontId="1" fillId="0" borderId="0" xfId="3" applyAlignment="1" applyProtection="1">
      <alignment horizontal="left"/>
      <protection locked="0"/>
    </xf>
    <xf numFmtId="0" fontId="90" fillId="0" borderId="49" xfId="3" applyFont="1" applyBorder="1" applyAlignment="1">
      <alignment vertical="center" readingOrder="1"/>
    </xf>
    <xf numFmtId="0" fontId="1" fillId="0" borderId="86" xfId="3" applyBorder="1"/>
    <xf numFmtId="0" fontId="1" fillId="0" borderId="107" xfId="3" applyBorder="1" applyProtection="1">
      <protection locked="0"/>
    </xf>
    <xf numFmtId="0" fontId="91" fillId="0" borderId="82" xfId="3" applyFont="1" applyBorder="1" applyAlignment="1">
      <alignment horizontal="left"/>
    </xf>
    <xf numFmtId="0" fontId="92" fillId="0" borderId="81" xfId="3" applyFont="1" applyBorder="1" applyAlignment="1">
      <alignment horizontal="left"/>
    </xf>
    <xf numFmtId="0" fontId="1" fillId="0" borderId="108" xfId="3" applyBorder="1" applyProtection="1">
      <protection locked="0"/>
    </xf>
    <xf numFmtId="0" fontId="93" fillId="0" borderId="82" xfId="3" applyFont="1" applyBorder="1" applyAlignment="1">
      <alignment horizontal="left"/>
    </xf>
    <xf numFmtId="0" fontId="93" fillId="0" borderId="81" xfId="3" applyFont="1" applyBorder="1" applyAlignment="1">
      <alignment horizontal="left"/>
    </xf>
    <xf numFmtId="0" fontId="94" fillId="0" borderId="82" xfId="3" applyFont="1" applyBorder="1"/>
    <xf numFmtId="164" fontId="93" fillId="0" borderId="81" xfId="3" applyNumberFormat="1" applyFont="1" applyBorder="1" applyAlignment="1">
      <alignment horizontal="left"/>
    </xf>
    <xf numFmtId="0" fontId="86" fillId="0" borderId="81" xfId="3" applyFont="1" applyBorder="1" applyProtection="1">
      <protection locked="0"/>
    </xf>
    <xf numFmtId="0" fontId="94" fillId="0" borderId="93" xfId="3" applyFont="1" applyBorder="1"/>
    <xf numFmtId="0" fontId="96" fillId="0" borderId="50" xfId="3" applyFont="1" applyBorder="1"/>
    <xf numFmtId="0" fontId="97" fillId="0" borderId="108" xfId="3" applyFont="1" applyBorder="1" applyProtection="1">
      <protection locked="0"/>
    </xf>
    <xf numFmtId="0" fontId="86" fillId="0" borderId="109" xfId="3" applyFont="1" applyBorder="1" applyProtection="1">
      <protection locked="0"/>
    </xf>
    <xf numFmtId="0" fontId="86" fillId="0" borderId="110" xfId="3" applyFont="1" applyBorder="1" applyProtection="1">
      <protection locked="0"/>
    </xf>
    <xf numFmtId="0" fontId="86" fillId="0" borderId="111" xfId="3" applyFont="1" applyBorder="1" applyProtection="1">
      <protection locked="0"/>
    </xf>
    <xf numFmtId="0" fontId="1" fillId="0" borderId="112" xfId="3" applyBorder="1" applyProtection="1">
      <protection locked="0"/>
    </xf>
    <xf numFmtId="0" fontId="98" fillId="0" borderId="0" xfId="3" applyFont="1" applyAlignment="1" applyProtection="1">
      <alignment wrapText="1"/>
      <protection locked="0"/>
    </xf>
    <xf numFmtId="0" fontId="8" fillId="0" borderId="0" xfId="3" applyFont="1"/>
    <xf numFmtId="0" fontId="6" fillId="0" borderId="0" xfId="3" applyFont="1"/>
    <xf numFmtId="0" fontId="74" fillId="9" borderId="79" xfId="0" applyFont="1" applyFill="1" applyBorder="1" applyProtection="1">
      <protection locked="0"/>
    </xf>
    <xf numFmtId="165" fontId="1" fillId="0" borderId="113" xfId="3" applyNumberFormat="1" applyBorder="1" applyAlignment="1">
      <alignment horizontal="right" vertical="center"/>
    </xf>
    <xf numFmtId="165" fontId="1" fillId="0" borderId="114" xfId="3" applyNumberFormat="1" applyBorder="1" applyAlignment="1">
      <alignment horizontal="right" vertical="center"/>
    </xf>
    <xf numFmtId="165" fontId="1" fillId="0" borderId="114" xfId="3" applyNumberFormat="1" applyBorder="1" applyAlignment="1">
      <alignment horizontal="right"/>
    </xf>
    <xf numFmtId="165" fontId="4" fillId="0" borderId="115" xfId="5" applyNumberFormat="1" applyFont="1" applyFill="1" applyBorder="1" applyAlignment="1" applyProtection="1"/>
    <xf numFmtId="165" fontId="1" fillId="0" borderId="116" xfId="3" applyNumberFormat="1" applyBorder="1" applyAlignment="1">
      <alignment horizontal="center"/>
    </xf>
    <xf numFmtId="165" fontId="1" fillId="0" borderId="117" xfId="3" applyNumberFormat="1" applyBorder="1" applyAlignment="1">
      <alignment horizontal="center"/>
    </xf>
    <xf numFmtId="165" fontId="4" fillId="0" borderId="118" xfId="5" applyNumberFormat="1" applyFont="1" applyFill="1" applyBorder="1" applyAlignment="1" applyProtection="1">
      <alignment horizontal="right"/>
    </xf>
    <xf numFmtId="0" fontId="94" fillId="0" borderId="82" xfId="3" applyFont="1" applyBorder="1" applyAlignment="1">
      <alignment horizontal="left"/>
    </xf>
    <xf numFmtId="0" fontId="88" fillId="0" borderId="81" xfId="3" applyFont="1" applyBorder="1" applyAlignment="1">
      <alignment horizontal="left"/>
    </xf>
    <xf numFmtId="166" fontId="88" fillId="0" borderId="81" xfId="3" applyNumberFormat="1" applyFont="1" applyBorder="1" applyAlignment="1">
      <alignment horizontal="left"/>
    </xf>
    <xf numFmtId="166" fontId="88" fillId="0" borderId="84" xfId="3" applyNumberFormat="1" applyFont="1" applyBorder="1" applyAlignment="1">
      <alignment horizontal="left"/>
    </xf>
    <xf numFmtId="0" fontId="93" fillId="0" borderId="49" xfId="3" applyFont="1" applyBorder="1" applyProtection="1">
      <protection locked="0"/>
    </xf>
    <xf numFmtId="0" fontId="93" fillId="0" borderId="86" xfId="3" applyFont="1" applyBorder="1" applyProtection="1">
      <protection locked="0"/>
    </xf>
    <xf numFmtId="0" fontId="31" fillId="0" borderId="0" xfId="3" applyFont="1" applyAlignment="1">
      <alignment horizontal="center" vertical="center"/>
    </xf>
    <xf numFmtId="0" fontId="9" fillId="0" borderId="0" xfId="3" applyFont="1" applyAlignment="1">
      <alignment horizontal="center" vertical="center"/>
    </xf>
    <xf numFmtId="0" fontId="47" fillId="9" borderId="49" xfId="3" applyFont="1" applyFill="1" applyBorder="1"/>
    <xf numFmtId="0" fontId="48" fillId="9" borderId="50" xfId="3" applyFont="1" applyFill="1" applyBorder="1" applyAlignment="1">
      <alignment horizontal="left" vertical="center"/>
    </xf>
    <xf numFmtId="0" fontId="48" fillId="9" borderId="50" xfId="3" applyFont="1" applyFill="1" applyBorder="1" applyAlignment="1">
      <alignment vertical="center"/>
    </xf>
    <xf numFmtId="0" fontId="61" fillId="9" borderId="50" xfId="3" applyFont="1" applyFill="1" applyBorder="1" applyAlignment="1">
      <alignment vertical="center"/>
    </xf>
    <xf numFmtId="0" fontId="47" fillId="9" borderId="50" xfId="3" applyFont="1" applyFill="1" applyBorder="1" applyAlignment="1">
      <alignment horizontal="center" vertical="center"/>
    </xf>
    <xf numFmtId="0" fontId="9" fillId="9" borderId="50" xfId="3" applyFont="1" applyFill="1" applyBorder="1" applyAlignment="1">
      <alignment horizontal="center" vertical="center"/>
    </xf>
    <xf numFmtId="0" fontId="53" fillId="9" borderId="50" xfId="3" applyFont="1" applyFill="1" applyBorder="1" applyAlignment="1">
      <alignment vertical="center"/>
    </xf>
    <xf numFmtId="0" fontId="65" fillId="9" borderId="50" xfId="3" applyFont="1" applyFill="1" applyBorder="1" applyAlignment="1">
      <alignment vertical="center"/>
    </xf>
    <xf numFmtId="0" fontId="47" fillId="9" borderId="50" xfId="3" applyFont="1" applyFill="1" applyBorder="1"/>
    <xf numFmtId="0" fontId="48" fillId="9" borderId="50" xfId="3" applyFont="1" applyFill="1" applyBorder="1" applyAlignment="1">
      <alignment horizontal="center" vertical="center"/>
    </xf>
    <xf numFmtId="0" fontId="47" fillId="9" borderId="51" xfId="3" applyFont="1" applyFill="1" applyBorder="1" applyAlignment="1">
      <alignment horizontal="center" vertical="center"/>
    </xf>
    <xf numFmtId="0" fontId="47" fillId="9" borderId="82" xfId="3" applyFont="1" applyFill="1" applyBorder="1"/>
    <xf numFmtId="0" fontId="48" fillId="9" borderId="0" xfId="3" applyFont="1" applyFill="1" applyAlignment="1">
      <alignment horizontal="left" vertical="center"/>
    </xf>
    <xf numFmtId="0" fontId="53" fillId="9" borderId="0" xfId="3" applyFont="1" applyFill="1" applyAlignment="1">
      <alignment vertical="center"/>
    </xf>
    <xf numFmtId="0" fontId="47" fillId="9" borderId="0" xfId="3" applyFont="1" applyFill="1" applyAlignment="1">
      <alignment horizontal="center" vertical="center"/>
    </xf>
    <xf numFmtId="0" fontId="61" fillId="9" borderId="0" xfId="3" applyFont="1" applyFill="1" applyAlignment="1">
      <alignment vertical="center"/>
    </xf>
    <xf numFmtId="0" fontId="47" fillId="9" borderId="0" xfId="3" applyFont="1" applyFill="1"/>
    <xf numFmtId="0" fontId="48" fillId="9" borderId="0" xfId="3" applyFont="1" applyFill="1" applyAlignment="1">
      <alignment vertical="center"/>
    </xf>
    <xf numFmtId="0" fontId="9" fillId="9" borderId="0" xfId="3" applyFont="1" applyFill="1" applyAlignment="1">
      <alignment horizontal="center" vertical="center"/>
    </xf>
    <xf numFmtId="0" fontId="47" fillId="9" borderId="12" xfId="3" applyFont="1" applyFill="1" applyBorder="1" applyAlignment="1">
      <alignment horizontal="center" vertical="center"/>
    </xf>
    <xf numFmtId="0" fontId="65" fillId="9" borderId="0" xfId="3" applyFont="1" applyFill="1" applyAlignment="1">
      <alignment vertical="center"/>
    </xf>
    <xf numFmtId="0" fontId="53" fillId="0" borderId="87" xfId="3" applyFont="1" applyBorder="1" applyAlignment="1">
      <alignment vertical="center"/>
    </xf>
    <xf numFmtId="0" fontId="61" fillId="0" borderId="87" xfId="3" applyFont="1" applyBorder="1" applyAlignment="1">
      <alignment vertical="center"/>
    </xf>
    <xf numFmtId="0" fontId="47" fillId="0" borderId="87" xfId="3" applyFont="1" applyBorder="1"/>
    <xf numFmtId="0" fontId="48" fillId="0" borderId="87" xfId="3" applyFont="1" applyBorder="1" applyAlignment="1">
      <alignment vertical="center"/>
    </xf>
    <xf numFmtId="0" fontId="47" fillId="0" borderId="87" xfId="3" applyFont="1" applyBorder="1" applyAlignment="1">
      <alignment horizontal="center" vertical="center"/>
    </xf>
    <xf numFmtId="0" fontId="53" fillId="0" borderId="88" xfId="3" applyFont="1" applyBorder="1" applyAlignment="1">
      <alignment vertical="center"/>
    </xf>
    <xf numFmtId="0" fontId="48" fillId="9" borderId="0" xfId="3" applyFont="1" applyFill="1" applyAlignment="1">
      <alignment horizontal="center" vertical="center"/>
    </xf>
    <xf numFmtId="42" fontId="9" fillId="0" borderId="0" xfId="3" applyNumberFormat="1" applyFont="1" applyAlignment="1">
      <alignment horizontal="center"/>
    </xf>
    <xf numFmtId="42" fontId="9" fillId="0" borderId="0" xfId="3" applyNumberFormat="1" applyFont="1" applyAlignment="1" applyProtection="1">
      <alignment horizontal="center"/>
      <protection locked="0"/>
    </xf>
    <xf numFmtId="0" fontId="48" fillId="0" borderId="38" xfId="3" applyFont="1" applyBorder="1" applyAlignment="1">
      <alignment horizontal="left" vertical="center"/>
    </xf>
    <xf numFmtId="0" fontId="48" fillId="0" borderId="39" xfId="3" applyFont="1" applyBorder="1" applyAlignment="1">
      <alignment horizontal="left" vertical="center"/>
    </xf>
    <xf numFmtId="0" fontId="48" fillId="0" borderId="40" xfId="3" applyFont="1" applyBorder="1" applyAlignment="1">
      <alignment horizontal="left" vertical="center"/>
    </xf>
    <xf numFmtId="0" fontId="48" fillId="0" borderId="85" xfId="3" applyFont="1" applyBorder="1" applyAlignment="1">
      <alignment vertical="center"/>
    </xf>
    <xf numFmtId="0" fontId="48" fillId="0" borderId="50" xfId="3" applyFont="1" applyBorder="1" applyAlignment="1">
      <alignment vertical="center"/>
    </xf>
    <xf numFmtId="0" fontId="48" fillId="0" borderId="86" xfId="3" applyFont="1" applyBorder="1" applyAlignment="1">
      <alignment vertical="center"/>
    </xf>
    <xf numFmtId="0" fontId="1" fillId="9" borderId="51" xfId="3" applyFill="1" applyBorder="1"/>
    <xf numFmtId="0" fontId="48" fillId="0" borderId="41" xfId="3" applyFont="1" applyBorder="1" applyAlignment="1">
      <alignment vertical="center"/>
    </xf>
    <xf numFmtId="0" fontId="48" fillId="0" borderId="42" xfId="3" applyFont="1" applyBorder="1" applyAlignment="1">
      <alignment vertical="center"/>
    </xf>
    <xf numFmtId="0" fontId="48" fillId="0" borderId="43" xfId="3" applyFont="1" applyBorder="1" applyAlignment="1">
      <alignment vertical="center"/>
    </xf>
    <xf numFmtId="0" fontId="32" fillId="0" borderId="0" xfId="3" applyFont="1"/>
    <xf numFmtId="0" fontId="9" fillId="0" borderId="0" xfId="3" applyFont="1" applyAlignment="1">
      <alignment horizontal="center"/>
    </xf>
    <xf numFmtId="0" fontId="1" fillId="9" borderId="96" xfId="3" applyFill="1" applyBorder="1"/>
    <xf numFmtId="0" fontId="48" fillId="8" borderId="0" xfId="3" applyFont="1" applyFill="1" applyAlignment="1">
      <alignment horizontal="left" vertical="center"/>
    </xf>
    <xf numFmtId="0" fontId="14" fillId="8" borderId="0" xfId="3" applyFont="1" applyFill="1" applyAlignment="1">
      <alignment horizontal="left" vertical="center"/>
    </xf>
    <xf numFmtId="0" fontId="9" fillId="8" borderId="0" xfId="3" applyFont="1" applyFill="1" applyAlignment="1">
      <alignment horizontal="left"/>
    </xf>
    <xf numFmtId="0" fontId="10" fillId="8" borderId="0" xfId="3" applyFont="1" applyFill="1" applyAlignment="1" applyProtection="1">
      <alignment horizontal="left"/>
      <protection locked="0"/>
    </xf>
    <xf numFmtId="0" fontId="68" fillId="8" borderId="0" xfId="0" applyFont="1" applyFill="1" applyAlignment="1">
      <alignment vertical="top"/>
    </xf>
    <xf numFmtId="0" fontId="68" fillId="9" borderId="76" xfId="0" applyFont="1" applyFill="1" applyBorder="1" applyAlignment="1">
      <alignment vertical="top"/>
    </xf>
    <xf numFmtId="0" fontId="68" fillId="9" borderId="77" xfId="0" applyFont="1" applyFill="1" applyBorder="1" applyAlignment="1">
      <alignment vertical="top"/>
    </xf>
    <xf numFmtId="0" fontId="68" fillId="9" borderId="0" xfId="0" applyFont="1" applyFill="1" applyAlignment="1">
      <alignment vertical="top"/>
    </xf>
    <xf numFmtId="0" fontId="68" fillId="9" borderId="12" xfId="0" applyFont="1" applyFill="1" applyBorder="1" applyAlignment="1">
      <alignment vertical="top"/>
    </xf>
    <xf numFmtId="0" fontId="68" fillId="9" borderId="79" xfId="0" applyFont="1" applyFill="1" applyBorder="1" applyAlignment="1">
      <alignment vertical="top"/>
    </xf>
    <xf numFmtId="0" fontId="68" fillId="9" borderId="80" xfId="0" applyFont="1" applyFill="1" applyBorder="1" applyAlignment="1">
      <alignment vertical="top"/>
    </xf>
    <xf numFmtId="0" fontId="68" fillId="9" borderId="19" xfId="0" applyFont="1" applyFill="1" applyBorder="1" applyAlignment="1">
      <alignment vertical="top"/>
    </xf>
    <xf numFmtId="0" fontId="68" fillId="9" borderId="34" xfId="0" applyFont="1" applyFill="1" applyBorder="1" applyAlignment="1">
      <alignment vertical="top"/>
    </xf>
    <xf numFmtId="0" fontId="68" fillId="9" borderId="78" xfId="0" applyFont="1" applyFill="1" applyBorder="1" applyAlignment="1">
      <alignment vertical="top"/>
    </xf>
    <xf numFmtId="0" fontId="9" fillId="0" borderId="0" xfId="0" applyFont="1" applyAlignment="1" applyProtection="1">
      <alignment horizontal="left"/>
      <protection locked="0"/>
    </xf>
    <xf numFmtId="0" fontId="67" fillId="0" borderId="0" xfId="0" applyFont="1" applyAlignment="1">
      <alignment horizontal="left" vertical="center" wrapText="1"/>
    </xf>
    <xf numFmtId="0" fontId="47" fillId="0" borderId="12" xfId="0" applyFont="1" applyBorder="1" applyAlignment="1">
      <alignment horizontal="left" vertical="center" wrapText="1"/>
    </xf>
    <xf numFmtId="0" fontId="47" fillId="0" borderId="80" xfId="0" applyFont="1" applyBorder="1" applyAlignment="1">
      <alignment horizontal="left" vertical="center" wrapText="1"/>
    </xf>
    <xf numFmtId="0" fontId="100" fillId="0" borderId="0" xfId="0" applyFont="1" applyAlignment="1">
      <alignment horizontal="left" vertical="center"/>
    </xf>
    <xf numFmtId="0" fontId="47" fillId="0" borderId="0" xfId="0" applyFont="1" applyAlignment="1">
      <alignment horizontal="left" vertical="center" wrapText="1"/>
    </xf>
    <xf numFmtId="0" fontId="50" fillId="0" borderId="0" xfId="2" applyFill="1" applyBorder="1" applyAlignment="1">
      <alignment horizontal="left" vertical="center" wrapText="1"/>
    </xf>
    <xf numFmtId="0" fontId="45" fillId="0" borderId="0" xfId="0" applyFont="1" applyAlignment="1">
      <alignment horizontal="center" vertical="center" wrapText="1"/>
    </xf>
    <xf numFmtId="0" fontId="1" fillId="0" borderId="0" xfId="0" applyFont="1" applyAlignment="1">
      <alignment horizontal="center" vertical="center"/>
    </xf>
    <xf numFmtId="0" fontId="51" fillId="0" borderId="79" xfId="0" applyFont="1" applyBorder="1" applyAlignment="1">
      <alignment horizontal="left"/>
    </xf>
    <xf numFmtId="0" fontId="67" fillId="0" borderId="34" xfId="0" applyFont="1" applyBorder="1" applyAlignment="1">
      <alignment horizontal="left" vertical="center" wrapText="1"/>
    </xf>
    <xf numFmtId="0" fontId="67" fillId="0" borderId="0" xfId="0" applyFont="1" applyAlignment="1">
      <alignment horizontal="left" vertical="center" wrapText="1"/>
    </xf>
    <xf numFmtId="0" fontId="67" fillId="0" borderId="78" xfId="0" applyFont="1" applyBorder="1" applyAlignment="1">
      <alignment horizontal="left" vertical="center" wrapText="1"/>
    </xf>
    <xf numFmtId="0" fontId="67" fillId="0" borderId="79" xfId="0" applyFont="1" applyBorder="1" applyAlignment="1">
      <alignment horizontal="left" vertical="center" wrapText="1"/>
    </xf>
    <xf numFmtId="0" fontId="80" fillId="0" borderId="75" xfId="0" applyFont="1" applyBorder="1" applyAlignment="1">
      <alignment horizontal="center" vertical="center"/>
    </xf>
    <xf numFmtId="0" fontId="19" fillId="0" borderId="76" xfId="0" applyFont="1" applyBorder="1" applyAlignment="1">
      <alignment horizontal="center" vertical="center"/>
    </xf>
    <xf numFmtId="0" fontId="19" fillId="0" borderId="77" xfId="0" applyFont="1" applyBorder="1" applyAlignment="1">
      <alignment horizontal="center" vertical="center"/>
    </xf>
    <xf numFmtId="0" fontId="19" fillId="0" borderId="78" xfId="0" applyFont="1" applyBorder="1" applyAlignment="1">
      <alignment horizontal="center" vertical="center"/>
    </xf>
    <xf numFmtId="0" fontId="19" fillId="0" borderId="79" xfId="0" applyFont="1" applyBorder="1" applyAlignment="1">
      <alignment horizontal="center" vertical="center"/>
    </xf>
    <xf numFmtId="0" fontId="19" fillId="0" borderId="80" xfId="0" applyFont="1" applyBorder="1" applyAlignment="1">
      <alignment horizontal="center" vertical="center"/>
    </xf>
    <xf numFmtId="0" fontId="47" fillId="0" borderId="19" xfId="0" applyFont="1" applyBorder="1" applyAlignment="1">
      <alignment horizontal="left" vertical="center" wrapText="1"/>
    </xf>
    <xf numFmtId="0" fontId="47" fillId="0" borderId="76" xfId="0" applyFont="1" applyBorder="1" applyAlignment="1">
      <alignment horizontal="left" vertical="center" wrapText="1"/>
    </xf>
    <xf numFmtId="0" fontId="47" fillId="0" borderId="77" xfId="0" applyFont="1" applyBorder="1" applyAlignment="1">
      <alignment horizontal="left" vertical="center" wrapText="1"/>
    </xf>
    <xf numFmtId="0" fontId="47" fillId="0" borderId="34" xfId="0" applyFont="1" applyBorder="1" applyAlignment="1">
      <alignment horizontal="left" vertical="center" wrapText="1"/>
    </xf>
    <xf numFmtId="0" fontId="47" fillId="0" borderId="12" xfId="0" applyFont="1" applyBorder="1" applyAlignment="1">
      <alignment horizontal="left" vertical="center" wrapText="1"/>
    </xf>
    <xf numFmtId="0" fontId="73" fillId="0" borderId="0" xfId="0" applyFont="1" applyAlignment="1">
      <alignment horizontal="left"/>
    </xf>
    <xf numFmtId="0" fontId="58" fillId="0" borderId="89" xfId="0" applyFont="1" applyBorder="1" applyAlignment="1">
      <alignment horizontal="center" vertical="center"/>
    </xf>
    <xf numFmtId="0" fontId="58" fillId="0" borderId="90" xfId="0" applyFont="1" applyBorder="1" applyAlignment="1">
      <alignment horizontal="center" vertical="center"/>
    </xf>
    <xf numFmtId="0" fontId="58" fillId="0" borderId="91" xfId="0" applyFont="1" applyBorder="1" applyAlignment="1">
      <alignment horizontal="center" vertical="center"/>
    </xf>
    <xf numFmtId="0" fontId="45" fillId="0" borderId="16" xfId="0" applyFont="1" applyBorder="1" applyAlignment="1">
      <alignment horizontal="center" vertical="center" wrapText="1"/>
    </xf>
    <xf numFmtId="0" fontId="45" fillId="0" borderId="17" xfId="0" applyFont="1" applyBorder="1" applyAlignment="1">
      <alignment horizontal="center" vertical="center" wrapText="1"/>
    </xf>
    <xf numFmtId="0" fontId="45" fillId="0" borderId="18" xfId="0" applyFont="1" applyBorder="1" applyAlignment="1">
      <alignment horizontal="center" vertical="center" wrapText="1"/>
    </xf>
    <xf numFmtId="0" fontId="71" fillId="0" borderId="0" xfId="0" applyFont="1" applyAlignment="1">
      <alignment horizontal="left" wrapText="1"/>
    </xf>
    <xf numFmtId="0" fontId="10" fillId="0" borderId="0" xfId="0" applyFont="1" applyAlignment="1">
      <alignment horizontal="left" vertical="center" wrapText="1"/>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63" fillId="0" borderId="16" xfId="0" applyFont="1" applyBorder="1" applyAlignment="1">
      <alignment horizontal="left" vertical="center"/>
    </xf>
    <xf numFmtId="0" fontId="63" fillId="0" borderId="17" xfId="0" applyFont="1" applyBorder="1" applyAlignment="1">
      <alignment horizontal="left" vertical="center"/>
    </xf>
    <xf numFmtId="0" fontId="63" fillId="0" borderId="18" xfId="0" applyFont="1" applyBorder="1" applyAlignment="1">
      <alignment horizontal="left" vertical="center"/>
    </xf>
    <xf numFmtId="0" fontId="1" fillId="0" borderId="0" xfId="0" applyFont="1" applyAlignment="1">
      <alignment horizontal="left" vertical="top" wrapText="1"/>
    </xf>
    <xf numFmtId="164" fontId="48" fillId="9" borderId="79" xfId="0" applyNumberFormat="1" applyFont="1" applyFill="1" applyBorder="1" applyAlignment="1">
      <alignment horizontal="left"/>
    </xf>
    <xf numFmtId="0" fontId="19" fillId="0" borderId="0" xfId="0" applyFont="1" applyAlignment="1">
      <alignment horizontal="center"/>
    </xf>
    <xf numFmtId="0" fontId="48" fillId="9" borderId="79" xfId="0" applyFont="1" applyFill="1" applyBorder="1" applyAlignment="1">
      <alignment horizontal="left"/>
    </xf>
    <xf numFmtId="0" fontId="1" fillId="0" borderId="0" xfId="0" applyFont="1" applyAlignment="1">
      <alignment horizontal="left" vertical="center" wrapText="1"/>
    </xf>
    <xf numFmtId="0" fontId="0" fillId="0" borderId="0" xfId="0" applyAlignment="1">
      <alignment horizontal="left" vertical="center" wrapText="1"/>
    </xf>
    <xf numFmtId="0" fontId="1" fillId="8" borderId="0" xfId="0" applyFont="1" applyFill="1" applyAlignment="1">
      <alignment horizontal="left" wrapText="1"/>
    </xf>
    <xf numFmtId="0" fontId="4" fillId="10" borderId="19" xfId="0" applyFont="1" applyFill="1" applyBorder="1" applyAlignment="1">
      <alignment horizontal="left" vertical="center" wrapText="1"/>
    </xf>
    <xf numFmtId="0" fontId="4" fillId="10" borderId="15" xfId="0" applyFont="1" applyFill="1" applyBorder="1" applyAlignment="1">
      <alignment horizontal="left" vertical="center" wrapText="1"/>
    </xf>
    <xf numFmtId="0" fontId="4" fillId="10" borderId="11" xfId="0" applyFont="1" applyFill="1" applyBorder="1" applyAlignment="1">
      <alignment horizontal="left" vertical="center" wrapText="1"/>
    </xf>
    <xf numFmtId="0" fontId="1" fillId="7" borderId="14" xfId="0" applyFont="1" applyFill="1" applyBorder="1" applyAlignment="1">
      <alignment horizontal="left"/>
    </xf>
    <xf numFmtId="0" fontId="0" fillId="7" borderId="1" xfId="0" applyFill="1" applyBorder="1" applyAlignment="1">
      <alignment horizontal="left"/>
    </xf>
    <xf numFmtId="0" fontId="0" fillId="7" borderId="13" xfId="0" applyFill="1" applyBorder="1" applyAlignment="1">
      <alignment horizontal="left"/>
    </xf>
    <xf numFmtId="0" fontId="1" fillId="9" borderId="19" xfId="0" applyFont="1" applyFill="1" applyBorder="1" applyAlignment="1" applyProtection="1">
      <alignment vertical="top" wrapText="1" shrinkToFit="1"/>
      <protection locked="0"/>
    </xf>
    <xf numFmtId="0" fontId="0" fillId="9" borderId="76" xfId="0" applyFill="1" applyBorder="1" applyAlignment="1" applyProtection="1">
      <alignment vertical="top" wrapText="1" shrinkToFit="1"/>
      <protection locked="0"/>
    </xf>
    <xf numFmtId="0" fontId="0" fillId="9" borderId="11" xfId="0" applyFill="1" applyBorder="1" applyAlignment="1" applyProtection="1">
      <alignment vertical="top" wrapText="1" shrinkToFit="1"/>
      <protection locked="0"/>
    </xf>
    <xf numFmtId="0" fontId="0" fillId="9" borderId="34" xfId="0" applyFill="1" applyBorder="1" applyAlignment="1" applyProtection="1">
      <alignment vertical="top" wrapText="1" shrinkToFit="1"/>
      <protection locked="0"/>
    </xf>
    <xf numFmtId="0" fontId="0" fillId="9" borderId="0" xfId="0" applyFill="1" applyAlignment="1" applyProtection="1">
      <alignment vertical="top" wrapText="1" shrinkToFit="1"/>
      <protection locked="0"/>
    </xf>
    <xf numFmtId="0" fontId="0" fillId="9" borderId="12" xfId="0" applyFill="1" applyBorder="1" applyAlignment="1" applyProtection="1">
      <alignment vertical="top" wrapText="1" shrinkToFit="1"/>
      <protection locked="0"/>
    </xf>
    <xf numFmtId="0" fontId="0" fillId="9" borderId="78" xfId="0" applyFill="1" applyBorder="1" applyAlignment="1" applyProtection="1">
      <alignment vertical="top" wrapText="1" shrinkToFit="1"/>
      <protection locked="0"/>
    </xf>
    <xf numFmtId="0" fontId="0" fillId="9" borderId="79" xfId="0" applyFill="1" applyBorder="1" applyAlignment="1" applyProtection="1">
      <alignment vertical="top" wrapText="1" shrinkToFit="1"/>
      <protection locked="0"/>
    </xf>
    <xf numFmtId="0" fontId="0" fillId="9" borderId="80" xfId="0" applyFill="1" applyBorder="1" applyAlignment="1" applyProtection="1">
      <alignment vertical="top" wrapText="1" shrinkToFit="1"/>
      <protection locked="0"/>
    </xf>
    <xf numFmtId="0" fontId="1" fillId="8" borderId="0" xfId="0" applyFont="1" applyFill="1" applyAlignment="1">
      <alignment horizontal="left" vertical="center" wrapText="1"/>
    </xf>
    <xf numFmtId="0" fontId="4" fillId="10" borderId="92" xfId="0" applyFont="1" applyFill="1" applyBorder="1" applyAlignment="1">
      <alignment horizontal="left" vertical="center" wrapText="1"/>
    </xf>
    <xf numFmtId="0" fontId="4" fillId="2" borderId="4" xfId="0" applyFont="1" applyFill="1" applyBorder="1" applyAlignment="1" applyProtection="1">
      <alignment horizontal="left"/>
      <protection locked="0"/>
    </xf>
    <xf numFmtId="0" fontId="4" fillId="2" borderId="52" xfId="0" applyFont="1" applyFill="1" applyBorder="1" applyAlignment="1" applyProtection="1">
      <alignment horizontal="left"/>
      <protection locked="0"/>
    </xf>
    <xf numFmtId="0" fontId="3" fillId="5" borderId="16"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18" xfId="0" applyFont="1" applyFill="1" applyBorder="1" applyAlignment="1">
      <alignment horizontal="center" vertical="center"/>
    </xf>
    <xf numFmtId="0" fontId="4" fillId="10" borderId="75" xfId="0" applyFont="1" applyFill="1" applyBorder="1" applyAlignment="1">
      <alignment horizontal="left" vertical="center" wrapText="1"/>
    </xf>
    <xf numFmtId="0" fontId="4" fillId="10" borderId="76" xfId="0" applyFont="1" applyFill="1" applyBorder="1" applyAlignment="1">
      <alignment horizontal="left" vertical="center" wrapText="1"/>
    </xf>
    <xf numFmtId="0" fontId="4" fillId="10" borderId="77" xfId="0" applyFont="1" applyFill="1" applyBorder="1" applyAlignment="1">
      <alignment horizontal="left" vertical="center" wrapText="1"/>
    </xf>
    <xf numFmtId="0" fontId="4" fillId="10" borderId="78" xfId="0" applyFont="1" applyFill="1" applyBorder="1" applyAlignment="1">
      <alignment horizontal="left" vertical="center" wrapText="1"/>
    </xf>
    <xf numFmtId="0" fontId="4" fillId="10" borderId="79" xfId="0" applyFont="1" applyFill="1" applyBorder="1" applyAlignment="1">
      <alignment horizontal="left" vertical="center" wrapText="1"/>
    </xf>
    <xf numFmtId="0" fontId="4" fillId="10" borderId="80" xfId="0" applyFont="1" applyFill="1" applyBorder="1" applyAlignment="1">
      <alignment horizontal="left" vertical="center" wrapText="1"/>
    </xf>
    <xf numFmtId="0" fontId="1" fillId="9" borderId="16" xfId="0" applyFont="1" applyFill="1" applyBorder="1" applyAlignment="1">
      <alignment horizontal="left" vertical="top"/>
    </xf>
    <xf numFmtId="0" fontId="0" fillId="9" borderId="17" xfId="0" applyFill="1" applyBorder="1" applyAlignment="1">
      <alignment horizontal="left" vertical="top"/>
    </xf>
    <xf numFmtId="0" fontId="0" fillId="9" borderId="18" xfId="0" applyFill="1" applyBorder="1" applyAlignment="1">
      <alignment horizontal="left" vertical="top"/>
    </xf>
    <xf numFmtId="0" fontId="1" fillId="5" borderId="0" xfId="0" applyFont="1" applyFill="1" applyAlignment="1">
      <alignment horizontal="left" vertical="center" wrapText="1"/>
    </xf>
    <xf numFmtId="0" fontId="4" fillId="2" borderId="4" xfId="0" applyFont="1" applyFill="1" applyBorder="1" applyAlignment="1" applyProtection="1">
      <alignment horizontal="center"/>
      <protection locked="0"/>
    </xf>
    <xf numFmtId="0" fontId="4" fillId="2" borderId="53" xfId="0" applyFont="1" applyFill="1" applyBorder="1" applyAlignment="1" applyProtection="1">
      <alignment horizontal="center"/>
      <protection locked="0"/>
    </xf>
    <xf numFmtId="0" fontId="0" fillId="8" borderId="0" xfId="0" applyFill="1" applyAlignment="1">
      <alignment horizontal="left"/>
    </xf>
    <xf numFmtId="0" fontId="4" fillId="9" borderId="4" xfId="0" applyFont="1" applyFill="1" applyBorder="1" applyAlignment="1" applyProtection="1">
      <alignment horizontal="left"/>
      <protection locked="0"/>
    </xf>
    <xf numFmtId="0" fontId="4" fillId="9" borderId="52" xfId="0" applyFont="1" applyFill="1" applyBorder="1" applyAlignment="1" applyProtection="1">
      <alignment horizontal="left"/>
      <protection locked="0"/>
    </xf>
    <xf numFmtId="0" fontId="48" fillId="8" borderId="0" xfId="3" applyFont="1" applyFill="1" applyAlignment="1">
      <alignment horizontal="left" vertical="center"/>
    </xf>
    <xf numFmtId="0" fontId="48" fillId="0" borderId="38" xfId="3" applyFont="1" applyBorder="1" applyAlignment="1">
      <alignment horizontal="left" vertical="center"/>
    </xf>
    <xf numFmtId="0" fontId="48" fillId="0" borderId="39" xfId="3" applyFont="1" applyBorder="1" applyAlignment="1">
      <alignment horizontal="left" vertical="center"/>
    </xf>
    <xf numFmtId="0" fontId="4" fillId="9" borderId="16" xfId="3" applyFont="1" applyFill="1" applyBorder="1" applyAlignment="1" applyProtection="1">
      <alignment horizontal="left"/>
      <protection locked="0"/>
    </xf>
    <xf numFmtId="0" fontId="4" fillId="9" borderId="17" xfId="3" applyFont="1" applyFill="1" applyBorder="1" applyAlignment="1" applyProtection="1">
      <alignment horizontal="left"/>
      <protection locked="0"/>
    </xf>
    <xf numFmtId="0" fontId="4" fillId="9" borderId="18" xfId="3" applyFont="1" applyFill="1" applyBorder="1" applyAlignment="1" applyProtection="1">
      <alignment horizontal="left"/>
      <protection locked="0"/>
    </xf>
    <xf numFmtId="0" fontId="1" fillId="9" borderId="46" xfId="3" applyFill="1" applyBorder="1" applyAlignment="1">
      <alignment horizontal="left" vertical="center"/>
    </xf>
    <xf numFmtId="0" fontId="1" fillId="9" borderId="39" xfId="3" applyFill="1" applyBorder="1" applyAlignment="1">
      <alignment horizontal="left" vertical="center"/>
    </xf>
    <xf numFmtId="0" fontId="1" fillId="9" borderId="47" xfId="3" applyFill="1" applyBorder="1" applyAlignment="1">
      <alignment horizontal="left" vertical="center"/>
    </xf>
    <xf numFmtId="0" fontId="1" fillId="9" borderId="95" xfId="3" applyFill="1" applyBorder="1" applyAlignment="1">
      <alignment horizontal="left"/>
    </xf>
    <xf numFmtId="0" fontId="1" fillId="9" borderId="42" xfId="3" applyFill="1" applyBorder="1" applyAlignment="1">
      <alignment horizontal="left"/>
    </xf>
    <xf numFmtId="0" fontId="48" fillId="0" borderId="35" xfId="3" applyFont="1" applyBorder="1" applyAlignment="1">
      <alignment horizontal="left" vertical="center"/>
    </xf>
    <xf numFmtId="0" fontId="48" fillId="0" borderId="36" xfId="3" applyFont="1" applyBorder="1" applyAlignment="1">
      <alignment horizontal="left" vertical="center"/>
    </xf>
    <xf numFmtId="0" fontId="48" fillId="0" borderId="37" xfId="3" applyFont="1" applyBorder="1" applyAlignment="1">
      <alignment horizontal="left" vertical="center"/>
    </xf>
    <xf numFmtId="0" fontId="48" fillId="9" borderId="44" xfId="3" applyFont="1" applyFill="1" applyBorder="1" applyAlignment="1">
      <alignment horizontal="left" vertical="center"/>
    </xf>
    <xf numFmtId="0" fontId="48" fillId="9" borderId="36" xfId="3" applyFont="1" applyFill="1" applyBorder="1" applyAlignment="1">
      <alignment horizontal="left" vertical="center"/>
    </xf>
    <xf numFmtId="0" fontId="48" fillId="9" borderId="45" xfId="3" applyFont="1" applyFill="1" applyBorder="1" applyAlignment="1">
      <alignment horizontal="left" vertical="center"/>
    </xf>
    <xf numFmtId="0" fontId="48" fillId="0" borderId="85" xfId="3" applyFont="1" applyBorder="1" applyAlignment="1">
      <alignment horizontal="left" vertical="center"/>
    </xf>
    <xf numFmtId="0" fontId="48" fillId="0" borderId="50" xfId="3" applyFont="1" applyBorder="1" applyAlignment="1">
      <alignment horizontal="left" vertical="center"/>
    </xf>
    <xf numFmtId="0" fontId="48" fillId="0" borderId="86" xfId="3" applyFont="1" applyBorder="1" applyAlignment="1">
      <alignment horizontal="left" vertical="center"/>
    </xf>
    <xf numFmtId="0" fontId="48" fillId="0" borderId="34" xfId="3" applyFont="1" applyBorder="1" applyAlignment="1">
      <alignment horizontal="left" vertical="center"/>
    </xf>
    <xf numFmtId="0" fontId="48" fillId="0" borderId="0" xfId="3" applyFont="1" applyAlignment="1">
      <alignment horizontal="left" vertical="center"/>
    </xf>
    <xf numFmtId="0" fontId="48" fillId="0" borderId="81" xfId="3" applyFont="1" applyBorder="1" applyAlignment="1">
      <alignment horizontal="left" vertical="center"/>
    </xf>
    <xf numFmtId="0" fontId="48" fillId="0" borderId="83" xfId="3" applyFont="1" applyBorder="1" applyAlignment="1">
      <alignment horizontal="left" vertical="center"/>
    </xf>
    <xf numFmtId="0" fontId="48" fillId="0" borderId="48" xfId="3" applyFont="1" applyBorder="1" applyAlignment="1">
      <alignment horizontal="left" vertical="center"/>
    </xf>
    <xf numFmtId="0" fontId="48" fillId="0" borderId="84" xfId="3" applyFont="1" applyBorder="1" applyAlignment="1">
      <alignment horizontal="left" vertical="center"/>
    </xf>
    <xf numFmtId="0" fontId="48" fillId="0" borderId="40" xfId="3" applyFont="1" applyBorder="1" applyAlignment="1">
      <alignment horizontal="left" vertical="center"/>
    </xf>
    <xf numFmtId="0" fontId="1" fillId="9" borderId="49" xfId="3" applyFill="1" applyBorder="1" applyAlignment="1">
      <alignment horizontal="left"/>
    </xf>
    <xf numFmtId="0" fontId="1" fillId="9" borderId="50" xfId="3" applyFill="1" applyBorder="1" applyAlignment="1">
      <alignment horizontal="left"/>
    </xf>
    <xf numFmtId="0" fontId="1" fillId="9" borderId="51" xfId="3" applyFill="1" applyBorder="1" applyAlignment="1">
      <alignment horizontal="left"/>
    </xf>
    <xf numFmtId="0" fontId="1" fillId="9" borderId="46" xfId="3" applyFill="1" applyBorder="1" applyAlignment="1">
      <alignment horizontal="left"/>
    </xf>
    <xf numFmtId="0" fontId="1" fillId="9" borderId="39" xfId="3" applyFill="1" applyBorder="1" applyAlignment="1">
      <alignment horizontal="left"/>
    </xf>
    <xf numFmtId="0" fontId="1" fillId="9" borderId="93" xfId="3" applyFill="1" applyBorder="1" applyAlignment="1">
      <alignment horizontal="left" vertical="center"/>
    </xf>
    <xf numFmtId="0" fontId="1" fillId="9" borderId="48" xfId="3" applyFill="1" applyBorder="1" applyAlignment="1">
      <alignment horizontal="left" vertical="center"/>
    </xf>
    <xf numFmtId="0" fontId="1" fillId="9" borderId="94" xfId="3" applyFill="1" applyBorder="1" applyAlignment="1">
      <alignment horizontal="left" vertical="center"/>
    </xf>
    <xf numFmtId="42" fontId="9" fillId="0" borderId="0" xfId="3" applyNumberFormat="1" applyFont="1" applyAlignment="1">
      <alignment horizontal="center"/>
    </xf>
    <xf numFmtId="0" fontId="10" fillId="0" borderId="0" xfId="3" applyFont="1" applyAlignment="1" applyProtection="1">
      <alignment horizontal="left"/>
      <protection locked="0"/>
    </xf>
    <xf numFmtId="0" fontId="9" fillId="0" borderId="0" xfId="3" applyFont="1" applyAlignment="1" applyProtection="1">
      <alignment horizontal="left"/>
      <protection locked="0"/>
    </xf>
    <xf numFmtId="42" fontId="9" fillId="0" borderId="0" xfId="3" applyNumberFormat="1" applyFont="1" applyAlignment="1" applyProtection="1">
      <alignment horizontal="center"/>
      <protection locked="0"/>
    </xf>
    <xf numFmtId="0" fontId="1" fillId="9" borderId="96" xfId="3" applyFill="1" applyBorder="1" applyAlignment="1">
      <alignment horizontal="left"/>
    </xf>
    <xf numFmtId="0" fontId="2" fillId="0" borderId="0" xfId="3" applyFont="1" applyAlignment="1">
      <alignment horizontal="center"/>
    </xf>
    <xf numFmtId="0" fontId="3" fillId="0" borderId="16" xfId="3" applyFont="1" applyBorder="1" applyAlignment="1">
      <alignment horizontal="center" vertical="center"/>
    </xf>
    <xf numFmtId="0" fontId="3" fillId="0" borderId="17" xfId="3" applyFont="1" applyBorder="1" applyAlignment="1">
      <alignment horizontal="center" vertical="center"/>
    </xf>
    <xf numFmtId="0" fontId="3" fillId="0" borderId="18" xfId="3" applyFont="1" applyBorder="1" applyAlignment="1">
      <alignment horizontal="center" vertical="center"/>
    </xf>
    <xf numFmtId="0" fontId="48" fillId="0" borderId="0" xfId="0" applyFont="1" applyAlignment="1">
      <alignment horizontal="left" vertical="center"/>
    </xf>
    <xf numFmtId="42" fontId="9" fillId="0" borderId="0" xfId="0" applyNumberFormat="1" applyFont="1" applyAlignment="1" applyProtection="1">
      <alignment horizontal="center"/>
      <protection locked="0"/>
    </xf>
    <xf numFmtId="42" fontId="9" fillId="0" borderId="0" xfId="0" applyNumberFormat="1" applyFont="1" applyAlignment="1">
      <alignment horizontal="center"/>
    </xf>
    <xf numFmtId="42" fontId="9" fillId="0" borderId="12" xfId="0" applyNumberFormat="1" applyFont="1" applyBorder="1" applyAlignment="1">
      <alignment horizontal="center"/>
    </xf>
    <xf numFmtId="0" fontId="14" fillId="0" borderId="79" xfId="0" applyFont="1" applyBorder="1" applyAlignment="1">
      <alignment horizontal="center" vertical="center"/>
    </xf>
    <xf numFmtId="0" fontId="14" fillId="0" borderId="79" xfId="0" applyFont="1" applyBorder="1" applyAlignment="1">
      <alignment horizontal="center" vertical="center" wrapText="1"/>
    </xf>
    <xf numFmtId="0" fontId="30" fillId="0" borderId="79" xfId="0" applyFont="1" applyBorder="1" applyAlignment="1">
      <alignment horizontal="center" vertical="center" wrapText="1"/>
    </xf>
    <xf numFmtId="0" fontId="10" fillId="0" borderId="79" xfId="0" applyFont="1" applyBorder="1" applyAlignment="1">
      <alignment horizontal="center" vertical="center"/>
    </xf>
    <xf numFmtId="0" fontId="10" fillId="0" borderId="80" xfId="0" applyFont="1" applyBorder="1" applyAlignment="1">
      <alignment horizontal="center" vertical="center"/>
    </xf>
    <xf numFmtId="0" fontId="9" fillId="0" borderId="0" xfId="0" applyFont="1" applyAlignment="1" applyProtection="1">
      <alignment horizontal="left"/>
      <protection locked="0"/>
    </xf>
    <xf numFmtId="0" fontId="14" fillId="0" borderId="0" xfId="0" applyFont="1" applyAlignment="1">
      <alignment horizontal="center" vertical="center"/>
    </xf>
    <xf numFmtId="0" fontId="14" fillId="0" borderId="0" xfId="0" applyFont="1" applyAlignment="1">
      <alignment horizontal="center" vertical="center" wrapText="1"/>
    </xf>
    <xf numFmtId="0" fontId="30" fillId="0" borderId="0" xfId="0" applyFont="1" applyAlignment="1">
      <alignment horizontal="center" vertical="center" wrapText="1"/>
    </xf>
    <xf numFmtId="0" fontId="10" fillId="0" borderId="0" xfId="0" applyFont="1" applyAlignment="1">
      <alignment horizontal="center" vertical="center"/>
    </xf>
    <xf numFmtId="0" fontId="47" fillId="9" borderId="79" xfId="0" applyFont="1" applyFill="1" applyBorder="1" applyAlignment="1" applyProtection="1">
      <alignment horizontal="left"/>
      <protection locked="0"/>
    </xf>
    <xf numFmtId="0" fontId="2" fillId="0" borderId="0" xfId="0" applyFont="1" applyAlignment="1">
      <alignment horizontal="center"/>
    </xf>
    <xf numFmtId="0" fontId="10" fillId="0" borderId="0" xfId="0" applyFont="1" applyAlignment="1" applyProtection="1">
      <alignment horizontal="left"/>
      <protection locked="0"/>
    </xf>
    <xf numFmtId="0" fontId="51" fillId="9" borderId="0" xfId="0" applyFont="1" applyFill="1" applyAlignment="1">
      <alignment horizontal="center"/>
    </xf>
    <xf numFmtId="0" fontId="52" fillId="9" borderId="0" xfId="0" applyFont="1" applyFill="1" applyAlignment="1">
      <alignment horizontal="center" vertical="center"/>
    </xf>
    <xf numFmtId="0" fontId="47" fillId="9" borderId="0" xfId="0" applyFont="1" applyFill="1" applyAlignment="1">
      <alignment horizontal="left" vertical="center"/>
    </xf>
    <xf numFmtId="42" fontId="9" fillId="0" borderId="48" xfId="0" applyNumberFormat="1" applyFont="1" applyBorder="1" applyAlignment="1">
      <alignment horizontal="center"/>
    </xf>
    <xf numFmtId="42" fontId="9" fillId="0" borderId="48" xfId="0" applyNumberFormat="1" applyFont="1" applyBorder="1" applyAlignment="1" applyProtection="1">
      <alignment horizontal="center"/>
      <protection locked="0"/>
    </xf>
    <xf numFmtId="0" fontId="70" fillId="0" borderId="60" xfId="3" applyFont="1" applyBorder="1" applyAlignment="1">
      <alignment horizontal="center"/>
    </xf>
    <xf numFmtId="0" fontId="70" fillId="0" borderId="39" xfId="3" applyFont="1" applyBorder="1" applyAlignment="1">
      <alignment horizontal="center"/>
    </xf>
    <xf numFmtId="0" fontId="70" fillId="0" borderId="99" xfId="3" applyFont="1" applyBorder="1" applyAlignment="1">
      <alignment horizontal="center"/>
    </xf>
    <xf numFmtId="0" fontId="70" fillId="0" borderId="73" xfId="3" applyFont="1" applyBorder="1" applyAlignment="1">
      <alignment horizontal="left"/>
    </xf>
    <xf numFmtId="0" fontId="70" fillId="0" borderId="72" xfId="3" applyFont="1" applyBorder="1" applyAlignment="1">
      <alignment horizontal="left"/>
    </xf>
    <xf numFmtId="0" fontId="70" fillId="0" borderId="97" xfId="3" applyFont="1" applyBorder="1" applyAlignment="1">
      <alignment horizontal="left"/>
    </xf>
    <xf numFmtId="0" fontId="70" fillId="0" borderId="60" xfId="3" applyFont="1" applyBorder="1" applyAlignment="1">
      <alignment horizontal="left" vertical="center"/>
    </xf>
    <xf numFmtId="0" fontId="70" fillId="0" borderId="39" xfId="3" applyFont="1" applyBorder="1" applyAlignment="1">
      <alignment horizontal="left" vertical="center"/>
    </xf>
    <xf numFmtId="0" fontId="70" fillId="0" borderId="99" xfId="3" applyFont="1" applyBorder="1" applyAlignment="1">
      <alignment horizontal="left" vertical="center"/>
    </xf>
    <xf numFmtId="0" fontId="8" fillId="0" borderId="60" xfId="3" applyFont="1" applyBorder="1" applyAlignment="1">
      <alignment horizontal="center"/>
    </xf>
    <xf numFmtId="0" fontId="8" fillId="0" borderId="39" xfId="3" applyFont="1" applyBorder="1" applyAlignment="1">
      <alignment horizontal="center"/>
    </xf>
    <xf numFmtId="0" fontId="8" fillId="0" borderId="99" xfId="3" applyFont="1" applyBorder="1" applyAlignment="1">
      <alignment horizontal="center"/>
    </xf>
    <xf numFmtId="0" fontId="70" fillId="0" borderId="74" xfId="3" applyFont="1" applyBorder="1" applyAlignment="1">
      <alignment horizontal="center"/>
    </xf>
    <xf numFmtId="0" fontId="70" fillId="0" borderId="61" xfId="3" applyFont="1" applyBorder="1" applyAlignment="1">
      <alignment horizontal="center"/>
    </xf>
    <xf numFmtId="0" fontId="70" fillId="0" borderId="60" xfId="3" applyFont="1" applyBorder="1" applyAlignment="1">
      <alignment horizontal="left"/>
    </xf>
    <xf numFmtId="0" fontId="70" fillId="0" borderId="39" xfId="3" applyFont="1" applyBorder="1" applyAlignment="1">
      <alignment horizontal="left"/>
    </xf>
    <xf numFmtId="0" fontId="70" fillId="0" borderId="99" xfId="3" applyFont="1" applyBorder="1" applyAlignment="1">
      <alignment horizontal="left"/>
    </xf>
    <xf numFmtId="0" fontId="4" fillId="9" borderId="103" xfId="3" applyFont="1" applyFill="1" applyBorder="1" applyAlignment="1">
      <alignment horizontal="center" vertical="center"/>
    </xf>
    <xf numFmtId="0" fontId="4" fillId="9" borderId="105" xfId="3" applyFont="1" applyFill="1" applyBorder="1" applyAlignment="1">
      <alignment horizontal="center" vertical="center"/>
    </xf>
    <xf numFmtId="0" fontId="4" fillId="9" borderId="75" xfId="3" applyFont="1" applyFill="1" applyBorder="1" applyAlignment="1">
      <alignment horizontal="center" vertical="center" wrapText="1"/>
    </xf>
    <xf numFmtId="0" fontId="4" fillId="9" borderId="76" xfId="3" applyFont="1" applyFill="1" applyBorder="1" applyAlignment="1">
      <alignment horizontal="center" vertical="center"/>
    </xf>
    <xf numFmtId="0" fontId="4" fillId="9" borderId="102" xfId="3" applyFont="1" applyFill="1" applyBorder="1" applyAlignment="1">
      <alignment horizontal="center" vertical="center"/>
    </xf>
    <xf numFmtId="0" fontId="4" fillId="9" borderId="78" xfId="3" applyFont="1" applyFill="1" applyBorder="1" applyAlignment="1">
      <alignment horizontal="center" vertical="center"/>
    </xf>
    <xf numFmtId="0" fontId="4" fillId="9" borderId="79" xfId="3" applyFont="1" applyFill="1" applyBorder="1" applyAlignment="1">
      <alignment horizontal="center" vertical="center"/>
    </xf>
    <xf numFmtId="0" fontId="4" fillId="9" borderId="104" xfId="3" applyFont="1" applyFill="1" applyBorder="1" applyAlignment="1">
      <alignment horizontal="center" vertical="center"/>
    </xf>
    <xf numFmtId="0" fontId="70" fillId="0" borderId="59" xfId="3" applyFont="1" applyBorder="1" applyAlignment="1">
      <alignment horizontal="center" vertical="center"/>
    </xf>
    <xf numFmtId="0" fontId="70" fillId="0" borderId="48" xfId="3" applyFont="1" applyBorder="1" applyAlignment="1">
      <alignment horizontal="center" vertical="center"/>
    </xf>
    <xf numFmtId="0" fontId="70" fillId="0" borderId="100" xfId="3" applyFont="1" applyBorder="1" applyAlignment="1">
      <alignment horizontal="center" vertical="center"/>
    </xf>
    <xf numFmtId="0" fontId="70" fillId="0" borderId="74" xfId="3" applyFont="1" applyBorder="1" applyAlignment="1">
      <alignment horizontal="center" vertical="center"/>
    </xf>
    <xf numFmtId="0" fontId="70" fillId="0" borderId="39" xfId="3" applyFont="1" applyBorder="1" applyAlignment="1">
      <alignment horizontal="center" vertical="center"/>
    </xf>
    <xf numFmtId="0" fontId="70" fillId="0" borderId="61" xfId="3" applyFont="1" applyBorder="1" applyAlignment="1">
      <alignment horizontal="center" vertical="center"/>
    </xf>
    <xf numFmtId="0" fontId="70" fillId="0" borderId="101" xfId="3" applyFont="1" applyBorder="1" applyAlignment="1">
      <alignment horizontal="center" vertical="center"/>
    </xf>
    <xf numFmtId="0" fontId="70" fillId="0" borderId="62" xfId="3" applyFont="1" applyBorder="1" applyAlignment="1">
      <alignment horizontal="center" vertical="center"/>
    </xf>
    <xf numFmtId="0" fontId="4" fillId="0" borderId="0" xfId="3" applyFont="1" applyAlignment="1">
      <alignment horizontal="left"/>
    </xf>
    <xf numFmtId="0" fontId="4" fillId="9" borderId="58" xfId="3" applyFont="1" applyFill="1" applyBorder="1" applyAlignment="1">
      <alignment horizontal="center" vertical="center"/>
    </xf>
    <xf numFmtId="0" fontId="4" fillId="9" borderId="66" xfId="3" applyFont="1" applyFill="1" applyBorder="1" applyAlignment="1">
      <alignment horizontal="center" vertical="center"/>
    </xf>
    <xf numFmtId="0" fontId="4" fillId="0" borderId="67" xfId="3" applyFont="1" applyBorder="1" applyAlignment="1">
      <alignment horizontal="center"/>
    </xf>
    <xf numFmtId="0" fontId="4" fillId="0" borderId="68" xfId="3" applyFont="1" applyBorder="1" applyAlignment="1">
      <alignment horizontal="center"/>
    </xf>
    <xf numFmtId="0" fontId="4" fillId="0" borderId="70" xfId="3" applyFont="1" applyBorder="1" applyAlignment="1">
      <alignment horizontal="center"/>
    </xf>
    <xf numFmtId="0" fontId="4" fillId="9" borderId="55" xfId="3" applyFont="1" applyFill="1" applyBorder="1" applyAlignment="1">
      <alignment horizontal="center" vertical="center"/>
    </xf>
    <xf numFmtId="0" fontId="4" fillId="9" borderId="56" xfId="3" applyFont="1" applyFill="1" applyBorder="1" applyAlignment="1">
      <alignment horizontal="center" vertical="center"/>
    </xf>
    <xf numFmtId="0" fontId="4" fillId="9" borderId="57" xfId="3" applyFont="1" applyFill="1" applyBorder="1" applyAlignment="1">
      <alignment horizontal="center" vertical="center"/>
    </xf>
    <xf numFmtId="0" fontId="4" fillId="9" borderId="63" xfId="3" applyFont="1" applyFill="1" applyBorder="1" applyAlignment="1">
      <alignment horizontal="center" vertical="center"/>
    </xf>
    <xf numFmtId="0" fontId="4" fillId="9" borderId="64" xfId="3" applyFont="1" applyFill="1" applyBorder="1" applyAlignment="1">
      <alignment horizontal="center" vertical="center"/>
    </xf>
    <xf numFmtId="0" fontId="4" fillId="9" borderId="65" xfId="3" applyFont="1" applyFill="1" applyBorder="1" applyAlignment="1">
      <alignment horizontal="center" vertical="center"/>
    </xf>
    <xf numFmtId="0" fontId="4" fillId="0" borderId="69" xfId="3" applyFont="1" applyBorder="1" applyAlignment="1">
      <alignment horizontal="center"/>
    </xf>
    <xf numFmtId="0" fontId="1" fillId="0" borderId="60" xfId="3" applyBorder="1" applyAlignment="1">
      <alignment horizontal="center"/>
    </xf>
    <xf numFmtId="0" fontId="1" fillId="0" borderId="39" xfId="3" applyBorder="1" applyAlignment="1">
      <alignment horizontal="center"/>
    </xf>
    <xf numFmtId="0" fontId="1" fillId="0" borderId="47" xfId="3" applyBorder="1" applyAlignment="1">
      <alignment horizontal="center"/>
    </xf>
    <xf numFmtId="0" fontId="4" fillId="0" borderId="38" xfId="3" applyFont="1" applyBorder="1" applyAlignment="1">
      <alignment horizontal="left" vertical="center"/>
    </xf>
    <xf numFmtId="0" fontId="4" fillId="0" borderId="39" xfId="3" applyFont="1" applyBorder="1" applyAlignment="1">
      <alignment horizontal="left" vertical="center"/>
    </xf>
    <xf numFmtId="0" fontId="4" fillId="0" borderId="54" xfId="3" applyFont="1" applyBorder="1" applyAlignment="1">
      <alignment horizontal="left" vertical="center"/>
    </xf>
    <xf numFmtId="0" fontId="70" fillId="0" borderId="38" xfId="3" applyFont="1" applyBorder="1" applyAlignment="1">
      <alignment horizontal="left" vertical="center"/>
    </xf>
    <xf numFmtId="0" fontId="70" fillId="0" borderId="54" xfId="3" applyFont="1" applyBorder="1" applyAlignment="1">
      <alignment horizontal="left" vertical="center"/>
    </xf>
    <xf numFmtId="0" fontId="4" fillId="0" borderId="38" xfId="3" applyFont="1" applyBorder="1" applyAlignment="1" applyProtection="1">
      <alignment horizontal="left"/>
      <protection locked="0"/>
    </xf>
    <xf numFmtId="0" fontId="4" fillId="0" borderId="39" xfId="3" applyFont="1" applyBorder="1" applyAlignment="1" applyProtection="1">
      <alignment horizontal="left"/>
      <protection locked="0"/>
    </xf>
    <xf numFmtId="0" fontId="4" fillId="0" borderId="54" xfId="3" applyFont="1" applyBorder="1" applyAlignment="1" applyProtection="1">
      <alignment horizontal="left"/>
      <protection locked="0"/>
    </xf>
    <xf numFmtId="0" fontId="4" fillId="0" borderId="60" xfId="3" applyFont="1" applyBorder="1" applyAlignment="1">
      <alignment horizontal="center"/>
    </xf>
    <xf numFmtId="0" fontId="4" fillId="0" borderId="39" xfId="3" applyFont="1" applyBorder="1" applyAlignment="1">
      <alignment horizontal="center"/>
    </xf>
    <xf numFmtId="0" fontId="4" fillId="0" borderId="47" xfId="3" applyFont="1" applyBorder="1" applyAlignment="1">
      <alignment horizontal="center"/>
    </xf>
    <xf numFmtId="0" fontId="4" fillId="0" borderId="38" xfId="3" applyFont="1" applyBorder="1" applyAlignment="1">
      <alignment horizontal="left"/>
    </xf>
    <xf numFmtId="0" fontId="4" fillId="0" borderId="39" xfId="3" applyFont="1" applyBorder="1" applyAlignment="1">
      <alignment horizontal="left"/>
    </xf>
    <xf numFmtId="0" fontId="4" fillId="0" borderId="54" xfId="3" applyFont="1" applyBorder="1" applyAlignment="1">
      <alignment horizontal="left"/>
    </xf>
    <xf numFmtId="0" fontId="8" fillId="0" borderId="71" xfId="3" applyFont="1" applyBorder="1" applyAlignment="1">
      <alignment horizontal="left"/>
    </xf>
    <xf numFmtId="0" fontId="8" fillId="0" borderId="72" xfId="3" applyFont="1" applyBorder="1" applyAlignment="1">
      <alignment horizontal="left"/>
    </xf>
    <xf numFmtId="0" fontId="8" fillId="0" borderId="98" xfId="3" applyFont="1" applyBorder="1" applyAlignment="1">
      <alignment horizontal="left"/>
    </xf>
    <xf numFmtId="0" fontId="4" fillId="4" borderId="0" xfId="0" applyFont="1" applyFill="1" applyAlignment="1">
      <alignment horizontal="center"/>
    </xf>
    <xf numFmtId="0" fontId="0" fillId="0" borderId="32" xfId="0" applyBorder="1" applyAlignment="1">
      <alignment horizontal="left" vertical="top"/>
    </xf>
    <xf numFmtId="0" fontId="0" fillId="0" borderId="0" xfId="0" applyAlignment="1">
      <alignment horizontal="left" vertical="top"/>
    </xf>
    <xf numFmtId="0" fontId="0" fillId="0" borderId="33" xfId="0" applyBorder="1" applyAlignment="1">
      <alignment horizontal="left" vertical="top"/>
    </xf>
    <xf numFmtId="0" fontId="0" fillId="0" borderId="8" xfId="0" applyBorder="1" applyAlignment="1">
      <alignment horizontal="left" vertical="top"/>
    </xf>
    <xf numFmtId="0" fontId="22" fillId="0" borderId="26"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28" xfId="0" applyFont="1" applyBorder="1" applyAlignment="1">
      <alignment horizontal="center" vertical="center" wrapText="1"/>
    </xf>
    <xf numFmtId="0" fontId="39" fillId="0" borderId="23" xfId="0" applyFont="1" applyBorder="1" applyAlignment="1">
      <alignment horizontal="center" vertical="center" wrapText="1"/>
    </xf>
    <xf numFmtId="0" fontId="39" fillId="0" borderId="24" xfId="0" applyFont="1" applyBorder="1" applyAlignment="1">
      <alignment horizontal="center" vertical="center" wrapText="1"/>
    </xf>
    <xf numFmtId="0" fontId="39" fillId="0" borderId="25" xfId="0" applyFont="1" applyBorder="1" applyAlignment="1">
      <alignment horizontal="center" vertical="center" wrapText="1"/>
    </xf>
    <xf numFmtId="0" fontId="36" fillId="0" borderId="29" xfId="0" applyFont="1" applyBorder="1" applyAlignment="1">
      <alignment horizontal="left" vertical="center"/>
    </xf>
    <xf numFmtId="0" fontId="36" fillId="0" borderId="30" xfId="0" applyFont="1" applyBorder="1" applyAlignment="1">
      <alignment horizontal="left" vertical="center"/>
    </xf>
    <xf numFmtId="0" fontId="36" fillId="0" borderId="31" xfId="0" applyFont="1" applyBorder="1" applyAlignment="1">
      <alignment horizontal="left" vertical="center"/>
    </xf>
    <xf numFmtId="0" fontId="34" fillId="0" borderId="29" xfId="0" applyFont="1" applyBorder="1" applyAlignment="1">
      <alignment horizontal="center" vertical="center" wrapText="1"/>
    </xf>
    <xf numFmtId="0" fontId="34" fillId="0" borderId="30" xfId="0" applyFont="1" applyBorder="1" applyAlignment="1">
      <alignment horizontal="center" vertical="center" wrapText="1"/>
    </xf>
    <xf numFmtId="0" fontId="34" fillId="0" borderId="31" xfId="0" applyFont="1" applyBorder="1" applyAlignment="1">
      <alignment horizontal="center" vertical="center" wrapText="1"/>
    </xf>
    <xf numFmtId="0" fontId="37" fillId="0" borderId="29" xfId="0" applyFont="1" applyBorder="1" applyAlignment="1">
      <alignment horizontal="center" vertical="center"/>
    </xf>
    <xf numFmtId="0" fontId="37" fillId="0" borderId="30" xfId="0" applyFont="1" applyBorder="1" applyAlignment="1">
      <alignment horizontal="center" vertical="center"/>
    </xf>
    <xf numFmtId="0" fontId="37" fillId="0" borderId="31" xfId="0" applyFont="1" applyBorder="1" applyAlignment="1">
      <alignment horizontal="center" vertical="center"/>
    </xf>
    <xf numFmtId="0" fontId="4" fillId="2" borderId="2" xfId="0" applyFont="1" applyFill="1" applyBorder="1" applyAlignment="1" applyProtection="1">
      <alignment horizontal="center"/>
      <protection locked="0"/>
    </xf>
    <xf numFmtId="42" fontId="4" fillId="2" borderId="2" xfId="0" applyNumberFormat="1" applyFont="1" applyFill="1" applyBorder="1" applyAlignment="1" applyProtection="1">
      <alignment horizontal="center"/>
      <protection locked="0"/>
    </xf>
    <xf numFmtId="0" fontId="36" fillId="0" borderId="29" xfId="0" applyFont="1" applyBorder="1" applyAlignment="1">
      <alignment horizontal="center" vertical="center"/>
    </xf>
    <xf numFmtId="0" fontId="36" fillId="0" borderId="30" xfId="0" applyFont="1" applyBorder="1" applyAlignment="1">
      <alignment horizontal="center" vertical="center"/>
    </xf>
    <xf numFmtId="0" fontId="36" fillId="0" borderId="31"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cellXfs>
  <cellStyles count="6">
    <cellStyle name="Euro" xfId="1" xr:uid="{00000000-0005-0000-0000-000000000000}"/>
    <cellStyle name="Lien hypertexte" xfId="2" builtinId="8"/>
    <cellStyle name="Monétaire" xfId="5" builtinId="4"/>
    <cellStyle name="Normal" xfId="0" builtinId="0"/>
    <cellStyle name="Normal 2" xfId="3" xr:uid="{00000000-0005-0000-0000-000003000000}"/>
    <cellStyle name="Pourcentage 2" xfId="4"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FF"/>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CCC7F5"/>
      <rgbColor rgb="00003366"/>
      <rgbColor rgb="00339966"/>
      <rgbColor rgb="00003300"/>
      <rgbColor rgb="00CCE692"/>
      <rgbColor rgb="00993300"/>
      <rgbColor rgb="00993366"/>
      <rgbColor rgb="00333399"/>
      <rgbColor rgb="00333333"/>
    </indexedColors>
    <mruColors>
      <color rgb="FFCCCCFF"/>
      <color rgb="FFC0C0C0"/>
      <color rgb="FFBAF1FC"/>
      <color rgb="FFFF9933"/>
      <color rgb="FFCCFF99"/>
      <color rgb="FFCCFF66"/>
      <color rgb="FF99FF99"/>
      <color rgb="FF99FFCC"/>
      <color rgb="FFCCFFCC"/>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file>

<file path=xl/ctrlProps/ctrlProp134.xml><?xml version="1.0" encoding="utf-8"?>
<formControlPr xmlns="http://schemas.microsoft.com/office/spreadsheetml/2009/9/main" objectType="CheckBox"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lockText="1"/>
</file>

<file path=xl/ctrlProps/ctrlProp142.xml><?xml version="1.0" encoding="utf-8"?>
<formControlPr xmlns="http://schemas.microsoft.com/office/spreadsheetml/2009/9/main" objectType="CheckBox"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fmlaLink="$BW$10" lockText="1"/>
</file>

<file path=xl/ctrlProps/ctrlProp151.xml><?xml version="1.0" encoding="utf-8"?>
<formControlPr xmlns="http://schemas.microsoft.com/office/spreadsheetml/2009/9/main" objectType="CheckBox" fmlaLink="$BX$10" lockText="1"/>
</file>

<file path=xl/ctrlProps/ctrlProp152.xml><?xml version="1.0" encoding="utf-8"?>
<formControlPr xmlns="http://schemas.microsoft.com/office/spreadsheetml/2009/9/main" objectType="CheckBox" fmlaLink="$BW$12"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fmlaLink="$BW$16" lockText="1"/>
</file>

<file path=xl/ctrlProps/ctrlProp155.xml><?xml version="1.0" encoding="utf-8"?>
<formControlPr xmlns="http://schemas.microsoft.com/office/spreadsheetml/2009/9/main" objectType="CheckBox" fmlaLink="$BW$14" lockText="1"/>
</file>

<file path=xl/ctrlProps/ctrlProp156.xml><?xml version="1.0" encoding="utf-8"?>
<formControlPr xmlns="http://schemas.microsoft.com/office/spreadsheetml/2009/9/main" objectType="CheckBox" fmlaLink="$BW$18"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fmlaLink="$BW$28"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CheckBox" fmlaLink="$BW$40"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fmlaLink="$BW$45"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fmlaLink="$BW$47"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fmlaLink="$BW$51"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fmlaLink="$BW$53"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fmlaLink="$BW$61" lockText="1"/>
</file>

<file path=xl/ctrlProps/ctrlProp173.xml><?xml version="1.0" encoding="utf-8"?>
<formControlPr xmlns="http://schemas.microsoft.com/office/spreadsheetml/2009/9/main" objectType="CheckBox" lockText="1"/>
</file>

<file path=xl/ctrlProps/ctrlProp174.xml><?xml version="1.0" encoding="utf-8"?>
<formControlPr xmlns="http://schemas.microsoft.com/office/spreadsheetml/2009/9/main" objectType="CheckBox" fmlaLink="$BW$63"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fmlaLink="$BW$71"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fmlaLink="$BW$76"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fmlaLink="$BW$88"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fmlaLink="$BW$88" lockText="1"/>
</file>

<file path=xl/ctrlProps/ctrlProp183.xml><?xml version="1.0" encoding="utf-8"?>
<formControlPr xmlns="http://schemas.microsoft.com/office/spreadsheetml/2009/9/main" objectType="CheckBox" fmlaLink="$BW$90"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fmlaLink="$BW$90" lockText="1"/>
</file>

<file path=xl/ctrlProps/ctrlProp186.xml><?xml version="1.0" encoding="utf-8"?>
<formControlPr xmlns="http://schemas.microsoft.com/office/spreadsheetml/2009/9/main" objectType="CheckBox" fmlaLink="$BW$94"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fmlaLink="$BW$94" lockText="1"/>
</file>

<file path=xl/ctrlProps/ctrlProp189.xml><?xml version="1.0" encoding="utf-8"?>
<formControlPr xmlns="http://schemas.microsoft.com/office/spreadsheetml/2009/9/main" objectType="CheckBox" fmlaLink="$BW$96"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fmlaLink="$BW$98"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fmlaLink="$BW$100"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fmlaLink="$BW$102"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fmlaLink="$BW$104"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fmlaLink="$BW$96" lockText="1"/>
</file>

<file path=xl/ctrlProps/ctrlProp200.xml><?xml version="1.0" encoding="utf-8"?>
<formControlPr xmlns="http://schemas.microsoft.com/office/spreadsheetml/2009/9/main" objectType="CheckBox" fmlaLink="$BW$98" lockText="1"/>
</file>

<file path=xl/ctrlProps/ctrlProp201.xml><?xml version="1.0" encoding="utf-8"?>
<formControlPr xmlns="http://schemas.microsoft.com/office/spreadsheetml/2009/9/main" objectType="CheckBox" fmlaLink="$BW$100" lockText="1"/>
</file>

<file path=xl/ctrlProps/ctrlProp202.xml><?xml version="1.0" encoding="utf-8"?>
<formControlPr xmlns="http://schemas.microsoft.com/office/spreadsheetml/2009/9/main" objectType="CheckBox" fmlaLink="$BW$102" lockText="1"/>
</file>

<file path=xl/ctrlProps/ctrlProp203.xml><?xml version="1.0" encoding="utf-8"?>
<formControlPr xmlns="http://schemas.microsoft.com/office/spreadsheetml/2009/9/main" objectType="CheckBox" fmlaLink="$BW$104"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1</xdr:row>
      <xdr:rowOff>266700</xdr:rowOff>
    </xdr:from>
    <xdr:to>
      <xdr:col>12</xdr:col>
      <xdr:colOff>45283</xdr:colOff>
      <xdr:row>4</xdr:row>
      <xdr:rowOff>142875</xdr:rowOff>
    </xdr:to>
    <xdr:pic>
      <xdr:nvPicPr>
        <xdr:cNvPr id="8" name="Picture 32" descr="image_gallery?uuid=1fe2d0b6-ed0f-40e5-a1da-65ef2efd7ab8&amp;groupId=18&amp;t=1293719668134">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0" y="428625"/>
          <a:ext cx="3483808"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9525</xdr:colOff>
          <xdr:row>8</xdr:row>
          <xdr:rowOff>0</xdr:rowOff>
        </xdr:from>
        <xdr:to>
          <xdr:col>4</xdr:col>
          <xdr:colOff>28575</xdr:colOff>
          <xdr:row>11</xdr:row>
          <xdr:rowOff>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0</xdr:rowOff>
        </xdr:from>
        <xdr:to>
          <xdr:col>4</xdr:col>
          <xdr:colOff>19050</xdr:colOff>
          <xdr:row>13</xdr:row>
          <xdr:rowOff>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12</xdr:row>
          <xdr:rowOff>0</xdr:rowOff>
        </xdr:from>
        <xdr:to>
          <xdr:col>4</xdr:col>
          <xdr:colOff>28575</xdr:colOff>
          <xdr:row>15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13</xdr:row>
          <xdr:rowOff>161925</xdr:rowOff>
        </xdr:from>
        <xdr:to>
          <xdr:col>4</xdr:col>
          <xdr:colOff>28575</xdr:colOff>
          <xdr:row>17</xdr:row>
          <xdr:rowOff>9525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16</xdr:row>
          <xdr:rowOff>9525</xdr:rowOff>
        </xdr:from>
        <xdr:to>
          <xdr:col>4</xdr:col>
          <xdr:colOff>28575</xdr:colOff>
          <xdr:row>19</xdr:row>
          <xdr:rowOff>9525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114300</xdr:rowOff>
        </xdr:from>
        <xdr:to>
          <xdr:col>4</xdr:col>
          <xdr:colOff>38100</xdr:colOff>
          <xdr:row>26</xdr:row>
          <xdr:rowOff>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29</xdr:row>
          <xdr:rowOff>0</xdr:rowOff>
        </xdr:from>
        <xdr:to>
          <xdr:col>4</xdr:col>
          <xdr:colOff>38100</xdr:colOff>
          <xdr:row>31</xdr:row>
          <xdr:rowOff>38100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31</xdr:row>
          <xdr:rowOff>0</xdr:rowOff>
        </xdr:from>
        <xdr:to>
          <xdr:col>4</xdr:col>
          <xdr:colOff>38100</xdr:colOff>
          <xdr:row>34</xdr:row>
          <xdr:rowOff>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27</xdr:row>
          <xdr:rowOff>0</xdr:rowOff>
        </xdr:from>
        <xdr:to>
          <xdr:col>4</xdr:col>
          <xdr:colOff>38100</xdr:colOff>
          <xdr:row>30</xdr:row>
          <xdr:rowOff>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43</xdr:row>
          <xdr:rowOff>0</xdr:rowOff>
        </xdr:from>
        <xdr:to>
          <xdr:col>4</xdr:col>
          <xdr:colOff>28575</xdr:colOff>
          <xdr:row>46</xdr:row>
          <xdr:rowOff>9525</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45</xdr:row>
          <xdr:rowOff>0</xdr:rowOff>
        </xdr:from>
        <xdr:to>
          <xdr:col>4</xdr:col>
          <xdr:colOff>28575</xdr:colOff>
          <xdr:row>47</xdr:row>
          <xdr:rowOff>66675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41</xdr:row>
          <xdr:rowOff>0</xdr:rowOff>
        </xdr:from>
        <xdr:to>
          <xdr:col>4</xdr:col>
          <xdr:colOff>28575</xdr:colOff>
          <xdr:row>44</xdr:row>
          <xdr:rowOff>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63</xdr:row>
          <xdr:rowOff>0</xdr:rowOff>
        </xdr:from>
        <xdr:to>
          <xdr:col>4</xdr:col>
          <xdr:colOff>28575</xdr:colOff>
          <xdr:row>66</xdr:row>
          <xdr:rowOff>19050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65</xdr:row>
          <xdr:rowOff>0</xdr:rowOff>
        </xdr:from>
        <xdr:to>
          <xdr:col>4</xdr:col>
          <xdr:colOff>38100</xdr:colOff>
          <xdr:row>67</xdr:row>
          <xdr:rowOff>66675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25</xdr:row>
          <xdr:rowOff>0</xdr:rowOff>
        </xdr:from>
        <xdr:to>
          <xdr:col>4</xdr:col>
          <xdr:colOff>38100</xdr:colOff>
          <xdr:row>28</xdr:row>
          <xdr:rowOff>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17</xdr:row>
          <xdr:rowOff>180975</xdr:rowOff>
        </xdr:from>
        <xdr:to>
          <xdr:col>4</xdr:col>
          <xdr:colOff>28575</xdr:colOff>
          <xdr:row>21</xdr:row>
          <xdr:rowOff>9525</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55</xdr:row>
          <xdr:rowOff>104775</xdr:rowOff>
        </xdr:from>
        <xdr:to>
          <xdr:col>4</xdr:col>
          <xdr:colOff>28575</xdr:colOff>
          <xdr:row>57</xdr:row>
          <xdr:rowOff>38100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14</xdr:col>
      <xdr:colOff>0</xdr:colOff>
      <xdr:row>36</xdr:row>
      <xdr:rowOff>0</xdr:rowOff>
    </xdr:from>
    <xdr:ext cx="184731" cy="264560"/>
    <xdr:sp macro="" textlink="">
      <xdr:nvSpPr>
        <xdr:cNvPr id="2" name="ZoneTexte 1">
          <a:extLst>
            <a:ext uri="{FF2B5EF4-FFF2-40B4-BE49-F238E27FC236}">
              <a16:creationId xmlns:a16="http://schemas.microsoft.com/office/drawing/2014/main" id="{00000000-0008-0000-0200-000002000000}"/>
            </a:ext>
          </a:extLst>
        </xdr:cNvPr>
        <xdr:cNvSpPr txBox="1"/>
      </xdr:nvSpPr>
      <xdr:spPr>
        <a:xfrm>
          <a:off x="3933825" y="10106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editAs="oneCell">
    <xdr:from>
      <xdr:col>0</xdr:col>
      <xdr:colOff>174625</xdr:colOff>
      <xdr:row>1</xdr:row>
      <xdr:rowOff>6350</xdr:rowOff>
    </xdr:from>
    <xdr:to>
      <xdr:col>9</xdr:col>
      <xdr:colOff>29547</xdr:colOff>
      <xdr:row>1</xdr:row>
      <xdr:rowOff>660400</xdr:rowOff>
    </xdr:to>
    <xdr:pic>
      <xdr:nvPicPr>
        <xdr:cNvPr id="4" name="Picture 32" descr="image_gallery?uuid=1fe2d0b6-ed0f-40e5-a1da-65ef2efd7ab8&amp;groupId=18&amp;t=129371966813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4625" y="165100"/>
          <a:ext cx="2255222"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11206</xdr:colOff>
      <xdr:row>1</xdr:row>
      <xdr:rowOff>26521</xdr:rowOff>
    </xdr:from>
    <xdr:to>
      <xdr:col>7</xdr:col>
      <xdr:colOff>42022</xdr:colOff>
      <xdr:row>1</xdr:row>
      <xdr:rowOff>609414</xdr:rowOff>
    </xdr:to>
    <xdr:pic>
      <xdr:nvPicPr>
        <xdr:cNvPr id="2" name="Picture 32" descr="image_gallery?uuid=1fe2d0b6-ed0f-40e5-a1da-65ef2efd7ab8&amp;groupId=18&amp;t=1293719668134">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1556" y="185271"/>
          <a:ext cx="2018366" cy="582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33867</xdr:colOff>
      <xdr:row>1</xdr:row>
      <xdr:rowOff>-1</xdr:rowOff>
    </xdr:from>
    <xdr:to>
      <xdr:col>8</xdr:col>
      <xdr:colOff>17992</xdr:colOff>
      <xdr:row>1</xdr:row>
      <xdr:rowOff>576791</xdr:rowOff>
    </xdr:to>
    <xdr:pic>
      <xdr:nvPicPr>
        <xdr:cNvPr id="2" name="Picture 32" descr="image_gallery?uuid=1fe2d0b6-ed0f-40e5-a1da-65ef2efd7ab8&amp;groupId=18&amp;t=1293719668134">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892" y="161924"/>
          <a:ext cx="1927225" cy="5767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14</xdr:col>
          <xdr:colOff>133350</xdr:colOff>
          <xdr:row>6</xdr:row>
          <xdr:rowOff>28575</xdr:rowOff>
        </xdr:from>
        <xdr:to>
          <xdr:col>15</xdr:col>
          <xdr:colOff>180975</xdr:colOff>
          <xdr:row>6</xdr:row>
          <xdr:rowOff>295275</xdr:rowOff>
        </xdr:to>
        <xdr:sp macro="" textlink="">
          <xdr:nvSpPr>
            <xdr:cNvPr id="26625" name="Check Box 1" hidden="1">
              <a:extLst>
                <a:ext uri="{63B3BB69-23CF-44E3-9099-C40C66FF867C}">
                  <a14:compatExt spid="_x0000_s26625"/>
                </a:ext>
                <a:ext uri="{FF2B5EF4-FFF2-40B4-BE49-F238E27FC236}">
                  <a16:creationId xmlns:a16="http://schemas.microsoft.com/office/drawing/2014/main" id="{00000000-0008-0000-0400-00000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6</xdr:row>
          <xdr:rowOff>28575</xdr:rowOff>
        </xdr:from>
        <xdr:to>
          <xdr:col>24</xdr:col>
          <xdr:colOff>180975</xdr:colOff>
          <xdr:row>6</xdr:row>
          <xdr:rowOff>295275</xdr:rowOff>
        </xdr:to>
        <xdr:sp macro="" textlink="">
          <xdr:nvSpPr>
            <xdr:cNvPr id="26626" name="Check Box 2" hidden="1">
              <a:extLst>
                <a:ext uri="{63B3BB69-23CF-44E3-9099-C40C66FF867C}">
                  <a14:compatExt spid="_x0000_s26626"/>
                </a:ext>
                <a:ext uri="{FF2B5EF4-FFF2-40B4-BE49-F238E27FC236}">
                  <a16:creationId xmlns:a16="http://schemas.microsoft.com/office/drawing/2014/main" id="{00000000-0008-0000-0400-00000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6</xdr:row>
          <xdr:rowOff>28575</xdr:rowOff>
        </xdr:from>
        <xdr:to>
          <xdr:col>31</xdr:col>
          <xdr:colOff>180975</xdr:colOff>
          <xdr:row>6</xdr:row>
          <xdr:rowOff>295275</xdr:rowOff>
        </xdr:to>
        <xdr:sp macro="" textlink="">
          <xdr:nvSpPr>
            <xdr:cNvPr id="26627" name="Check Box 3" hidden="1">
              <a:extLst>
                <a:ext uri="{63B3BB69-23CF-44E3-9099-C40C66FF867C}">
                  <a14:compatExt spid="_x0000_s26627"/>
                </a:ext>
                <a:ext uri="{FF2B5EF4-FFF2-40B4-BE49-F238E27FC236}">
                  <a16:creationId xmlns:a16="http://schemas.microsoft.com/office/drawing/2014/main" id="{00000000-0008-0000-0400-00000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8</xdr:row>
          <xdr:rowOff>38100</xdr:rowOff>
        </xdr:from>
        <xdr:to>
          <xdr:col>12</xdr:col>
          <xdr:colOff>219075</xdr:colOff>
          <xdr:row>8</xdr:row>
          <xdr:rowOff>304800</xdr:rowOff>
        </xdr:to>
        <xdr:sp macro="" textlink="">
          <xdr:nvSpPr>
            <xdr:cNvPr id="26628" name="Check Box 4" hidden="1">
              <a:extLst>
                <a:ext uri="{63B3BB69-23CF-44E3-9099-C40C66FF867C}">
                  <a14:compatExt spid="_x0000_s26628"/>
                </a:ext>
                <a:ext uri="{FF2B5EF4-FFF2-40B4-BE49-F238E27FC236}">
                  <a16:creationId xmlns:a16="http://schemas.microsoft.com/office/drawing/2014/main" id="{00000000-0008-0000-0400-00000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21</xdr:row>
          <xdr:rowOff>38100</xdr:rowOff>
        </xdr:from>
        <xdr:to>
          <xdr:col>12</xdr:col>
          <xdr:colOff>219075</xdr:colOff>
          <xdr:row>21</xdr:row>
          <xdr:rowOff>304800</xdr:rowOff>
        </xdr:to>
        <xdr:sp macro="" textlink="">
          <xdr:nvSpPr>
            <xdr:cNvPr id="26629" name="Check Box 5" hidden="1">
              <a:extLst>
                <a:ext uri="{63B3BB69-23CF-44E3-9099-C40C66FF867C}">
                  <a14:compatExt spid="_x0000_s26629"/>
                </a:ext>
                <a:ext uri="{FF2B5EF4-FFF2-40B4-BE49-F238E27FC236}">
                  <a16:creationId xmlns:a16="http://schemas.microsoft.com/office/drawing/2014/main" id="{00000000-0008-0000-0400-00000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34</xdr:row>
          <xdr:rowOff>38100</xdr:rowOff>
        </xdr:from>
        <xdr:to>
          <xdr:col>12</xdr:col>
          <xdr:colOff>219075</xdr:colOff>
          <xdr:row>34</xdr:row>
          <xdr:rowOff>304800</xdr:rowOff>
        </xdr:to>
        <xdr:sp macro="" textlink="">
          <xdr:nvSpPr>
            <xdr:cNvPr id="26630" name="Check Box 6" hidden="1">
              <a:extLst>
                <a:ext uri="{63B3BB69-23CF-44E3-9099-C40C66FF867C}">
                  <a14:compatExt spid="_x0000_s26630"/>
                </a:ext>
                <a:ext uri="{FF2B5EF4-FFF2-40B4-BE49-F238E27FC236}">
                  <a16:creationId xmlns:a16="http://schemas.microsoft.com/office/drawing/2014/main" id="{00000000-0008-0000-0400-00000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19</xdr:row>
          <xdr:rowOff>28575</xdr:rowOff>
        </xdr:from>
        <xdr:to>
          <xdr:col>15</xdr:col>
          <xdr:colOff>180975</xdr:colOff>
          <xdr:row>19</xdr:row>
          <xdr:rowOff>295275</xdr:rowOff>
        </xdr:to>
        <xdr:sp macro="" textlink="">
          <xdr:nvSpPr>
            <xdr:cNvPr id="26631" name="Check Box 7" hidden="1">
              <a:extLst>
                <a:ext uri="{63B3BB69-23CF-44E3-9099-C40C66FF867C}">
                  <a14:compatExt spid="_x0000_s26631"/>
                </a:ext>
                <a:ext uri="{FF2B5EF4-FFF2-40B4-BE49-F238E27FC236}">
                  <a16:creationId xmlns:a16="http://schemas.microsoft.com/office/drawing/2014/main" id="{00000000-0008-0000-0400-00000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19</xdr:row>
          <xdr:rowOff>28575</xdr:rowOff>
        </xdr:from>
        <xdr:to>
          <xdr:col>24</xdr:col>
          <xdr:colOff>180975</xdr:colOff>
          <xdr:row>19</xdr:row>
          <xdr:rowOff>295275</xdr:rowOff>
        </xdr:to>
        <xdr:sp macro="" textlink="">
          <xdr:nvSpPr>
            <xdr:cNvPr id="26632" name="Check Box 8" hidden="1">
              <a:extLst>
                <a:ext uri="{63B3BB69-23CF-44E3-9099-C40C66FF867C}">
                  <a14:compatExt spid="_x0000_s26632"/>
                </a:ext>
                <a:ext uri="{FF2B5EF4-FFF2-40B4-BE49-F238E27FC236}">
                  <a16:creationId xmlns:a16="http://schemas.microsoft.com/office/drawing/2014/main" id="{00000000-0008-0000-0400-00000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19</xdr:row>
          <xdr:rowOff>28575</xdr:rowOff>
        </xdr:from>
        <xdr:to>
          <xdr:col>31</xdr:col>
          <xdr:colOff>180975</xdr:colOff>
          <xdr:row>19</xdr:row>
          <xdr:rowOff>295275</xdr:rowOff>
        </xdr:to>
        <xdr:sp macro="" textlink="">
          <xdr:nvSpPr>
            <xdr:cNvPr id="26633" name="Check Box 9" hidden="1">
              <a:extLst>
                <a:ext uri="{63B3BB69-23CF-44E3-9099-C40C66FF867C}">
                  <a14:compatExt spid="_x0000_s26633"/>
                </a:ext>
                <a:ext uri="{FF2B5EF4-FFF2-40B4-BE49-F238E27FC236}">
                  <a16:creationId xmlns:a16="http://schemas.microsoft.com/office/drawing/2014/main" id="{00000000-0008-0000-0400-00000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634" name="Check Box 10" hidden="1">
              <a:extLst>
                <a:ext uri="{63B3BB69-23CF-44E3-9099-C40C66FF867C}">
                  <a14:compatExt spid="_x0000_s26634"/>
                </a:ext>
                <a:ext uri="{FF2B5EF4-FFF2-40B4-BE49-F238E27FC236}">
                  <a16:creationId xmlns:a16="http://schemas.microsoft.com/office/drawing/2014/main" id="{00000000-0008-0000-0400-00000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635" name="Check Box 11" hidden="1">
              <a:extLst>
                <a:ext uri="{63B3BB69-23CF-44E3-9099-C40C66FF867C}">
                  <a14:compatExt spid="_x0000_s26635"/>
                </a:ext>
                <a:ext uri="{FF2B5EF4-FFF2-40B4-BE49-F238E27FC236}">
                  <a16:creationId xmlns:a16="http://schemas.microsoft.com/office/drawing/2014/main" id="{00000000-0008-0000-0400-00000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636" name="Check Box 12" hidden="1">
              <a:extLst>
                <a:ext uri="{63B3BB69-23CF-44E3-9099-C40C66FF867C}">
                  <a14:compatExt spid="_x0000_s26636"/>
                </a:ext>
                <a:ext uri="{FF2B5EF4-FFF2-40B4-BE49-F238E27FC236}">
                  <a16:creationId xmlns:a16="http://schemas.microsoft.com/office/drawing/2014/main" id="{00000000-0008-0000-0400-00000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637" name="Check Box 13" hidden="1">
              <a:extLst>
                <a:ext uri="{63B3BB69-23CF-44E3-9099-C40C66FF867C}">
                  <a14:compatExt spid="_x0000_s26637"/>
                </a:ext>
                <a:ext uri="{FF2B5EF4-FFF2-40B4-BE49-F238E27FC236}">
                  <a16:creationId xmlns:a16="http://schemas.microsoft.com/office/drawing/2014/main" id="{00000000-0008-0000-0400-00000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638" name="Check Box 14" hidden="1">
              <a:extLst>
                <a:ext uri="{63B3BB69-23CF-44E3-9099-C40C66FF867C}">
                  <a14:compatExt spid="_x0000_s26638"/>
                </a:ext>
                <a:ext uri="{FF2B5EF4-FFF2-40B4-BE49-F238E27FC236}">
                  <a16:creationId xmlns:a16="http://schemas.microsoft.com/office/drawing/2014/main" id="{00000000-0008-0000-0400-00000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639" name="Check Box 15" hidden="1">
              <a:extLst>
                <a:ext uri="{63B3BB69-23CF-44E3-9099-C40C66FF867C}">
                  <a14:compatExt spid="_x0000_s26639"/>
                </a:ext>
                <a:ext uri="{FF2B5EF4-FFF2-40B4-BE49-F238E27FC236}">
                  <a16:creationId xmlns:a16="http://schemas.microsoft.com/office/drawing/2014/main" id="{00000000-0008-0000-0400-00000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640" name="Check Box 16" hidden="1">
              <a:extLst>
                <a:ext uri="{63B3BB69-23CF-44E3-9099-C40C66FF867C}">
                  <a14:compatExt spid="_x0000_s26640"/>
                </a:ext>
                <a:ext uri="{FF2B5EF4-FFF2-40B4-BE49-F238E27FC236}">
                  <a16:creationId xmlns:a16="http://schemas.microsoft.com/office/drawing/2014/main" id="{00000000-0008-0000-0400-00001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641" name="Check Box 17" hidden="1">
              <a:extLst>
                <a:ext uri="{63B3BB69-23CF-44E3-9099-C40C66FF867C}">
                  <a14:compatExt spid="_x0000_s26641"/>
                </a:ext>
                <a:ext uri="{FF2B5EF4-FFF2-40B4-BE49-F238E27FC236}">
                  <a16:creationId xmlns:a16="http://schemas.microsoft.com/office/drawing/2014/main" id="{00000000-0008-0000-0400-00001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642" name="Check Box 18" hidden="1">
              <a:extLst>
                <a:ext uri="{63B3BB69-23CF-44E3-9099-C40C66FF867C}">
                  <a14:compatExt spid="_x0000_s26642"/>
                </a:ext>
                <a:ext uri="{FF2B5EF4-FFF2-40B4-BE49-F238E27FC236}">
                  <a16:creationId xmlns:a16="http://schemas.microsoft.com/office/drawing/2014/main" id="{00000000-0008-0000-0400-00001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34</xdr:row>
          <xdr:rowOff>38100</xdr:rowOff>
        </xdr:from>
        <xdr:to>
          <xdr:col>12</xdr:col>
          <xdr:colOff>219075</xdr:colOff>
          <xdr:row>34</xdr:row>
          <xdr:rowOff>304800</xdr:rowOff>
        </xdr:to>
        <xdr:sp macro="" textlink="">
          <xdr:nvSpPr>
            <xdr:cNvPr id="26643" name="Check Box 19" hidden="1">
              <a:extLst>
                <a:ext uri="{63B3BB69-23CF-44E3-9099-C40C66FF867C}">
                  <a14:compatExt spid="_x0000_s26643"/>
                </a:ext>
                <a:ext uri="{FF2B5EF4-FFF2-40B4-BE49-F238E27FC236}">
                  <a16:creationId xmlns:a16="http://schemas.microsoft.com/office/drawing/2014/main" id="{00000000-0008-0000-0400-00001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34</xdr:row>
          <xdr:rowOff>38100</xdr:rowOff>
        </xdr:from>
        <xdr:to>
          <xdr:col>12</xdr:col>
          <xdr:colOff>219075</xdr:colOff>
          <xdr:row>34</xdr:row>
          <xdr:rowOff>304800</xdr:rowOff>
        </xdr:to>
        <xdr:sp macro="" textlink="">
          <xdr:nvSpPr>
            <xdr:cNvPr id="26644" name="Check Box 20" hidden="1">
              <a:extLst>
                <a:ext uri="{63B3BB69-23CF-44E3-9099-C40C66FF867C}">
                  <a14:compatExt spid="_x0000_s26644"/>
                </a:ext>
                <a:ext uri="{FF2B5EF4-FFF2-40B4-BE49-F238E27FC236}">
                  <a16:creationId xmlns:a16="http://schemas.microsoft.com/office/drawing/2014/main" id="{00000000-0008-0000-0400-00001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32</xdr:row>
          <xdr:rowOff>28575</xdr:rowOff>
        </xdr:from>
        <xdr:to>
          <xdr:col>15</xdr:col>
          <xdr:colOff>180975</xdr:colOff>
          <xdr:row>32</xdr:row>
          <xdr:rowOff>295275</xdr:rowOff>
        </xdr:to>
        <xdr:sp macro="" textlink="">
          <xdr:nvSpPr>
            <xdr:cNvPr id="26645" name="Check Box 21" hidden="1">
              <a:extLst>
                <a:ext uri="{63B3BB69-23CF-44E3-9099-C40C66FF867C}">
                  <a14:compatExt spid="_x0000_s26645"/>
                </a:ext>
                <a:ext uri="{FF2B5EF4-FFF2-40B4-BE49-F238E27FC236}">
                  <a16:creationId xmlns:a16="http://schemas.microsoft.com/office/drawing/2014/main" id="{00000000-0008-0000-0400-00001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32</xdr:row>
          <xdr:rowOff>28575</xdr:rowOff>
        </xdr:from>
        <xdr:to>
          <xdr:col>24</xdr:col>
          <xdr:colOff>180975</xdr:colOff>
          <xdr:row>32</xdr:row>
          <xdr:rowOff>295275</xdr:rowOff>
        </xdr:to>
        <xdr:sp macro="" textlink="">
          <xdr:nvSpPr>
            <xdr:cNvPr id="26646" name="Check Box 22" hidden="1">
              <a:extLst>
                <a:ext uri="{63B3BB69-23CF-44E3-9099-C40C66FF867C}">
                  <a14:compatExt spid="_x0000_s26646"/>
                </a:ext>
                <a:ext uri="{FF2B5EF4-FFF2-40B4-BE49-F238E27FC236}">
                  <a16:creationId xmlns:a16="http://schemas.microsoft.com/office/drawing/2014/main" id="{00000000-0008-0000-0400-00001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32</xdr:row>
          <xdr:rowOff>28575</xdr:rowOff>
        </xdr:from>
        <xdr:to>
          <xdr:col>31</xdr:col>
          <xdr:colOff>180975</xdr:colOff>
          <xdr:row>32</xdr:row>
          <xdr:rowOff>295275</xdr:rowOff>
        </xdr:to>
        <xdr:sp macro="" textlink="">
          <xdr:nvSpPr>
            <xdr:cNvPr id="26647" name="Check Box 23" hidden="1">
              <a:extLst>
                <a:ext uri="{63B3BB69-23CF-44E3-9099-C40C66FF867C}">
                  <a14:compatExt spid="_x0000_s26647"/>
                </a:ext>
                <a:ext uri="{FF2B5EF4-FFF2-40B4-BE49-F238E27FC236}">
                  <a16:creationId xmlns:a16="http://schemas.microsoft.com/office/drawing/2014/main" id="{00000000-0008-0000-0400-00001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304800</xdr:rowOff>
        </xdr:to>
        <xdr:sp macro="" textlink="">
          <xdr:nvSpPr>
            <xdr:cNvPr id="26648" name="Check Box 24" hidden="1">
              <a:extLst>
                <a:ext uri="{63B3BB69-23CF-44E3-9099-C40C66FF867C}">
                  <a14:compatExt spid="_x0000_s26648"/>
                </a:ext>
                <a:ext uri="{FF2B5EF4-FFF2-40B4-BE49-F238E27FC236}">
                  <a16:creationId xmlns:a16="http://schemas.microsoft.com/office/drawing/2014/main" id="{00000000-0008-0000-0400-00001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304800</xdr:rowOff>
        </xdr:to>
        <xdr:sp macro="" textlink="">
          <xdr:nvSpPr>
            <xdr:cNvPr id="26649" name="Check Box 25" hidden="1">
              <a:extLst>
                <a:ext uri="{63B3BB69-23CF-44E3-9099-C40C66FF867C}">
                  <a14:compatExt spid="_x0000_s26649"/>
                </a:ext>
                <a:ext uri="{FF2B5EF4-FFF2-40B4-BE49-F238E27FC236}">
                  <a16:creationId xmlns:a16="http://schemas.microsoft.com/office/drawing/2014/main" id="{00000000-0008-0000-0400-00001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304800</xdr:rowOff>
        </xdr:to>
        <xdr:sp macro="" textlink="">
          <xdr:nvSpPr>
            <xdr:cNvPr id="26650" name="Check Box 26" hidden="1">
              <a:extLst>
                <a:ext uri="{63B3BB69-23CF-44E3-9099-C40C66FF867C}">
                  <a14:compatExt spid="_x0000_s26650"/>
                </a:ext>
                <a:ext uri="{FF2B5EF4-FFF2-40B4-BE49-F238E27FC236}">
                  <a16:creationId xmlns:a16="http://schemas.microsoft.com/office/drawing/2014/main" id="{00000000-0008-0000-0400-00001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651" name="Check Box 27" hidden="1">
              <a:extLst>
                <a:ext uri="{63B3BB69-23CF-44E3-9099-C40C66FF867C}">
                  <a14:compatExt spid="_x0000_s26651"/>
                </a:ext>
                <a:ext uri="{FF2B5EF4-FFF2-40B4-BE49-F238E27FC236}">
                  <a16:creationId xmlns:a16="http://schemas.microsoft.com/office/drawing/2014/main" id="{00000000-0008-0000-0400-00001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652" name="Check Box 28" hidden="1">
              <a:extLst>
                <a:ext uri="{63B3BB69-23CF-44E3-9099-C40C66FF867C}">
                  <a14:compatExt spid="_x0000_s26652"/>
                </a:ext>
                <a:ext uri="{FF2B5EF4-FFF2-40B4-BE49-F238E27FC236}">
                  <a16:creationId xmlns:a16="http://schemas.microsoft.com/office/drawing/2014/main" id="{00000000-0008-0000-0400-00001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653" name="Check Box 29" hidden="1">
              <a:extLst>
                <a:ext uri="{63B3BB69-23CF-44E3-9099-C40C66FF867C}">
                  <a14:compatExt spid="_x0000_s26653"/>
                </a:ext>
                <a:ext uri="{FF2B5EF4-FFF2-40B4-BE49-F238E27FC236}">
                  <a16:creationId xmlns:a16="http://schemas.microsoft.com/office/drawing/2014/main" id="{00000000-0008-0000-0400-00001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304800</xdr:rowOff>
        </xdr:to>
        <xdr:sp macro="" textlink="">
          <xdr:nvSpPr>
            <xdr:cNvPr id="26654" name="Check Box 30" hidden="1">
              <a:extLst>
                <a:ext uri="{63B3BB69-23CF-44E3-9099-C40C66FF867C}">
                  <a14:compatExt spid="_x0000_s26654"/>
                </a:ext>
                <a:ext uri="{FF2B5EF4-FFF2-40B4-BE49-F238E27FC236}">
                  <a16:creationId xmlns:a16="http://schemas.microsoft.com/office/drawing/2014/main" id="{00000000-0008-0000-0400-00001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304800</xdr:rowOff>
        </xdr:to>
        <xdr:sp macro="" textlink="">
          <xdr:nvSpPr>
            <xdr:cNvPr id="26655" name="Check Box 31" hidden="1">
              <a:extLst>
                <a:ext uri="{63B3BB69-23CF-44E3-9099-C40C66FF867C}">
                  <a14:compatExt spid="_x0000_s26655"/>
                </a:ext>
                <a:ext uri="{FF2B5EF4-FFF2-40B4-BE49-F238E27FC236}">
                  <a16:creationId xmlns:a16="http://schemas.microsoft.com/office/drawing/2014/main" id="{00000000-0008-0000-0400-00001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304800</xdr:rowOff>
        </xdr:to>
        <xdr:sp macro="" textlink="">
          <xdr:nvSpPr>
            <xdr:cNvPr id="26656" name="Check Box 32" hidden="1">
              <a:extLst>
                <a:ext uri="{63B3BB69-23CF-44E3-9099-C40C66FF867C}">
                  <a14:compatExt spid="_x0000_s26656"/>
                </a:ext>
                <a:ext uri="{FF2B5EF4-FFF2-40B4-BE49-F238E27FC236}">
                  <a16:creationId xmlns:a16="http://schemas.microsoft.com/office/drawing/2014/main" id="{00000000-0008-0000-0400-00002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19</xdr:row>
          <xdr:rowOff>28575</xdr:rowOff>
        </xdr:from>
        <xdr:to>
          <xdr:col>15</xdr:col>
          <xdr:colOff>180975</xdr:colOff>
          <xdr:row>19</xdr:row>
          <xdr:rowOff>295275</xdr:rowOff>
        </xdr:to>
        <xdr:sp macro="" textlink="">
          <xdr:nvSpPr>
            <xdr:cNvPr id="26657" name="Check Box 33" hidden="1">
              <a:extLst>
                <a:ext uri="{63B3BB69-23CF-44E3-9099-C40C66FF867C}">
                  <a14:compatExt spid="_x0000_s26657"/>
                </a:ext>
                <a:ext uri="{FF2B5EF4-FFF2-40B4-BE49-F238E27FC236}">
                  <a16:creationId xmlns:a16="http://schemas.microsoft.com/office/drawing/2014/main" id="{00000000-0008-0000-0400-00002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19</xdr:row>
          <xdr:rowOff>28575</xdr:rowOff>
        </xdr:from>
        <xdr:to>
          <xdr:col>24</xdr:col>
          <xdr:colOff>180975</xdr:colOff>
          <xdr:row>19</xdr:row>
          <xdr:rowOff>295275</xdr:rowOff>
        </xdr:to>
        <xdr:sp macro="" textlink="">
          <xdr:nvSpPr>
            <xdr:cNvPr id="26658" name="Check Box 34" hidden="1">
              <a:extLst>
                <a:ext uri="{63B3BB69-23CF-44E3-9099-C40C66FF867C}">
                  <a14:compatExt spid="_x0000_s26658"/>
                </a:ext>
                <a:ext uri="{FF2B5EF4-FFF2-40B4-BE49-F238E27FC236}">
                  <a16:creationId xmlns:a16="http://schemas.microsoft.com/office/drawing/2014/main" id="{00000000-0008-0000-0400-00002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19</xdr:row>
          <xdr:rowOff>28575</xdr:rowOff>
        </xdr:from>
        <xdr:to>
          <xdr:col>31</xdr:col>
          <xdr:colOff>180975</xdr:colOff>
          <xdr:row>19</xdr:row>
          <xdr:rowOff>295275</xdr:rowOff>
        </xdr:to>
        <xdr:sp macro="" textlink="">
          <xdr:nvSpPr>
            <xdr:cNvPr id="26659" name="Check Box 35" hidden="1">
              <a:extLst>
                <a:ext uri="{63B3BB69-23CF-44E3-9099-C40C66FF867C}">
                  <a14:compatExt spid="_x0000_s26659"/>
                </a:ext>
                <a:ext uri="{FF2B5EF4-FFF2-40B4-BE49-F238E27FC236}">
                  <a16:creationId xmlns:a16="http://schemas.microsoft.com/office/drawing/2014/main" id="{00000000-0008-0000-0400-00002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32</xdr:row>
          <xdr:rowOff>28575</xdr:rowOff>
        </xdr:from>
        <xdr:to>
          <xdr:col>15</xdr:col>
          <xdr:colOff>180975</xdr:colOff>
          <xdr:row>32</xdr:row>
          <xdr:rowOff>295275</xdr:rowOff>
        </xdr:to>
        <xdr:sp macro="" textlink="">
          <xdr:nvSpPr>
            <xdr:cNvPr id="26660" name="Check Box 36" hidden="1">
              <a:extLst>
                <a:ext uri="{63B3BB69-23CF-44E3-9099-C40C66FF867C}">
                  <a14:compatExt spid="_x0000_s26660"/>
                </a:ext>
                <a:ext uri="{FF2B5EF4-FFF2-40B4-BE49-F238E27FC236}">
                  <a16:creationId xmlns:a16="http://schemas.microsoft.com/office/drawing/2014/main" id="{00000000-0008-0000-0400-00002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32</xdr:row>
          <xdr:rowOff>28575</xdr:rowOff>
        </xdr:from>
        <xdr:to>
          <xdr:col>24</xdr:col>
          <xdr:colOff>180975</xdr:colOff>
          <xdr:row>32</xdr:row>
          <xdr:rowOff>295275</xdr:rowOff>
        </xdr:to>
        <xdr:sp macro="" textlink="">
          <xdr:nvSpPr>
            <xdr:cNvPr id="26661" name="Check Box 37" hidden="1">
              <a:extLst>
                <a:ext uri="{63B3BB69-23CF-44E3-9099-C40C66FF867C}">
                  <a14:compatExt spid="_x0000_s26661"/>
                </a:ext>
                <a:ext uri="{FF2B5EF4-FFF2-40B4-BE49-F238E27FC236}">
                  <a16:creationId xmlns:a16="http://schemas.microsoft.com/office/drawing/2014/main" id="{00000000-0008-0000-0400-00002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32</xdr:row>
          <xdr:rowOff>28575</xdr:rowOff>
        </xdr:from>
        <xdr:to>
          <xdr:col>31</xdr:col>
          <xdr:colOff>180975</xdr:colOff>
          <xdr:row>32</xdr:row>
          <xdr:rowOff>295275</xdr:rowOff>
        </xdr:to>
        <xdr:sp macro="" textlink="">
          <xdr:nvSpPr>
            <xdr:cNvPr id="26662" name="Check Box 38" hidden="1">
              <a:extLst>
                <a:ext uri="{63B3BB69-23CF-44E3-9099-C40C66FF867C}">
                  <a14:compatExt spid="_x0000_s26662"/>
                </a:ext>
                <a:ext uri="{FF2B5EF4-FFF2-40B4-BE49-F238E27FC236}">
                  <a16:creationId xmlns:a16="http://schemas.microsoft.com/office/drawing/2014/main" id="{00000000-0008-0000-0400-00002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663" name="Check Box 39" hidden="1">
              <a:extLst>
                <a:ext uri="{63B3BB69-23CF-44E3-9099-C40C66FF867C}">
                  <a14:compatExt spid="_x0000_s26663"/>
                </a:ext>
                <a:ext uri="{FF2B5EF4-FFF2-40B4-BE49-F238E27FC236}">
                  <a16:creationId xmlns:a16="http://schemas.microsoft.com/office/drawing/2014/main" id="{00000000-0008-0000-0400-00002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664" name="Check Box 40" hidden="1">
              <a:extLst>
                <a:ext uri="{63B3BB69-23CF-44E3-9099-C40C66FF867C}">
                  <a14:compatExt spid="_x0000_s26664"/>
                </a:ext>
                <a:ext uri="{FF2B5EF4-FFF2-40B4-BE49-F238E27FC236}">
                  <a16:creationId xmlns:a16="http://schemas.microsoft.com/office/drawing/2014/main" id="{00000000-0008-0000-0400-00002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665" name="Check Box 41" hidden="1">
              <a:extLst>
                <a:ext uri="{63B3BB69-23CF-44E3-9099-C40C66FF867C}">
                  <a14:compatExt spid="_x0000_s26665"/>
                </a:ext>
                <a:ext uri="{FF2B5EF4-FFF2-40B4-BE49-F238E27FC236}">
                  <a16:creationId xmlns:a16="http://schemas.microsoft.com/office/drawing/2014/main" id="{00000000-0008-0000-0400-00002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666" name="Check Box 42" hidden="1">
              <a:extLst>
                <a:ext uri="{63B3BB69-23CF-44E3-9099-C40C66FF867C}">
                  <a14:compatExt spid="_x0000_s26666"/>
                </a:ext>
                <a:ext uri="{FF2B5EF4-FFF2-40B4-BE49-F238E27FC236}">
                  <a16:creationId xmlns:a16="http://schemas.microsoft.com/office/drawing/2014/main" id="{00000000-0008-0000-0400-00002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667" name="Check Box 43" hidden="1">
              <a:extLst>
                <a:ext uri="{63B3BB69-23CF-44E3-9099-C40C66FF867C}">
                  <a14:compatExt spid="_x0000_s26667"/>
                </a:ext>
                <a:ext uri="{FF2B5EF4-FFF2-40B4-BE49-F238E27FC236}">
                  <a16:creationId xmlns:a16="http://schemas.microsoft.com/office/drawing/2014/main" id="{00000000-0008-0000-0400-00002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668" name="Check Box 44" hidden="1">
              <a:extLst>
                <a:ext uri="{63B3BB69-23CF-44E3-9099-C40C66FF867C}">
                  <a14:compatExt spid="_x0000_s26668"/>
                </a:ext>
                <a:ext uri="{FF2B5EF4-FFF2-40B4-BE49-F238E27FC236}">
                  <a16:creationId xmlns:a16="http://schemas.microsoft.com/office/drawing/2014/main" id="{00000000-0008-0000-0400-00002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669" name="Check Box 45" hidden="1">
              <a:extLst>
                <a:ext uri="{63B3BB69-23CF-44E3-9099-C40C66FF867C}">
                  <a14:compatExt spid="_x0000_s26669"/>
                </a:ext>
                <a:ext uri="{FF2B5EF4-FFF2-40B4-BE49-F238E27FC236}">
                  <a16:creationId xmlns:a16="http://schemas.microsoft.com/office/drawing/2014/main" id="{00000000-0008-0000-0400-00002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670" name="Check Box 46" hidden="1">
              <a:extLst>
                <a:ext uri="{63B3BB69-23CF-44E3-9099-C40C66FF867C}">
                  <a14:compatExt spid="_x0000_s26670"/>
                </a:ext>
                <a:ext uri="{FF2B5EF4-FFF2-40B4-BE49-F238E27FC236}">
                  <a16:creationId xmlns:a16="http://schemas.microsoft.com/office/drawing/2014/main" id="{00000000-0008-0000-0400-00002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671" name="Check Box 47" hidden="1">
              <a:extLst>
                <a:ext uri="{63B3BB69-23CF-44E3-9099-C40C66FF867C}">
                  <a14:compatExt spid="_x0000_s26671"/>
                </a:ext>
                <a:ext uri="{FF2B5EF4-FFF2-40B4-BE49-F238E27FC236}">
                  <a16:creationId xmlns:a16="http://schemas.microsoft.com/office/drawing/2014/main" id="{00000000-0008-0000-0400-00002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672" name="Check Box 48" hidden="1">
              <a:extLst>
                <a:ext uri="{63B3BB69-23CF-44E3-9099-C40C66FF867C}">
                  <a14:compatExt spid="_x0000_s26672"/>
                </a:ext>
                <a:ext uri="{FF2B5EF4-FFF2-40B4-BE49-F238E27FC236}">
                  <a16:creationId xmlns:a16="http://schemas.microsoft.com/office/drawing/2014/main" id="{00000000-0008-0000-0400-00003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673" name="Check Box 49" hidden="1">
              <a:extLst>
                <a:ext uri="{63B3BB69-23CF-44E3-9099-C40C66FF867C}">
                  <a14:compatExt spid="_x0000_s26673"/>
                </a:ext>
                <a:ext uri="{FF2B5EF4-FFF2-40B4-BE49-F238E27FC236}">
                  <a16:creationId xmlns:a16="http://schemas.microsoft.com/office/drawing/2014/main" id="{00000000-0008-0000-0400-00003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674" name="Check Box 50" hidden="1">
              <a:extLst>
                <a:ext uri="{63B3BB69-23CF-44E3-9099-C40C66FF867C}">
                  <a14:compatExt spid="_x0000_s26674"/>
                </a:ext>
                <a:ext uri="{FF2B5EF4-FFF2-40B4-BE49-F238E27FC236}">
                  <a16:creationId xmlns:a16="http://schemas.microsoft.com/office/drawing/2014/main" id="{00000000-0008-0000-0400-00003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6</xdr:row>
          <xdr:rowOff>28575</xdr:rowOff>
        </xdr:from>
        <xdr:to>
          <xdr:col>43</xdr:col>
          <xdr:colOff>28575</xdr:colOff>
          <xdr:row>6</xdr:row>
          <xdr:rowOff>295275</xdr:rowOff>
        </xdr:to>
        <xdr:sp macro="" textlink="">
          <xdr:nvSpPr>
            <xdr:cNvPr id="26675" name="Check Box 51" hidden="1">
              <a:extLst>
                <a:ext uri="{63B3BB69-23CF-44E3-9099-C40C66FF867C}">
                  <a14:compatExt spid="_x0000_s26675"/>
                </a:ext>
                <a:ext uri="{FF2B5EF4-FFF2-40B4-BE49-F238E27FC236}">
                  <a16:creationId xmlns:a16="http://schemas.microsoft.com/office/drawing/2014/main" id="{00000000-0008-0000-0400-00003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19</xdr:row>
          <xdr:rowOff>28575</xdr:rowOff>
        </xdr:from>
        <xdr:to>
          <xdr:col>43</xdr:col>
          <xdr:colOff>28575</xdr:colOff>
          <xdr:row>19</xdr:row>
          <xdr:rowOff>295275</xdr:rowOff>
        </xdr:to>
        <xdr:sp macro="" textlink="">
          <xdr:nvSpPr>
            <xdr:cNvPr id="26676" name="Check Box 52" hidden="1">
              <a:extLst>
                <a:ext uri="{63B3BB69-23CF-44E3-9099-C40C66FF867C}">
                  <a14:compatExt spid="_x0000_s26676"/>
                </a:ext>
                <a:ext uri="{FF2B5EF4-FFF2-40B4-BE49-F238E27FC236}">
                  <a16:creationId xmlns:a16="http://schemas.microsoft.com/office/drawing/2014/main" id="{00000000-0008-0000-0400-00003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32</xdr:row>
          <xdr:rowOff>28575</xdr:rowOff>
        </xdr:from>
        <xdr:to>
          <xdr:col>43</xdr:col>
          <xdr:colOff>28575</xdr:colOff>
          <xdr:row>32</xdr:row>
          <xdr:rowOff>295275</xdr:rowOff>
        </xdr:to>
        <xdr:sp macro="" textlink="">
          <xdr:nvSpPr>
            <xdr:cNvPr id="26677" name="Check Box 53" hidden="1">
              <a:extLst>
                <a:ext uri="{63B3BB69-23CF-44E3-9099-C40C66FF867C}">
                  <a14:compatExt spid="_x0000_s26677"/>
                </a:ext>
                <a:ext uri="{FF2B5EF4-FFF2-40B4-BE49-F238E27FC236}">
                  <a16:creationId xmlns:a16="http://schemas.microsoft.com/office/drawing/2014/main" id="{00000000-0008-0000-0400-00003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45</xdr:row>
          <xdr:rowOff>28575</xdr:rowOff>
        </xdr:from>
        <xdr:to>
          <xdr:col>43</xdr:col>
          <xdr:colOff>28575</xdr:colOff>
          <xdr:row>45</xdr:row>
          <xdr:rowOff>295275</xdr:rowOff>
        </xdr:to>
        <xdr:sp macro="" textlink="">
          <xdr:nvSpPr>
            <xdr:cNvPr id="26678" name="Check Box 54" hidden="1">
              <a:extLst>
                <a:ext uri="{63B3BB69-23CF-44E3-9099-C40C66FF867C}">
                  <a14:compatExt spid="_x0000_s26678"/>
                </a:ext>
                <a:ext uri="{FF2B5EF4-FFF2-40B4-BE49-F238E27FC236}">
                  <a16:creationId xmlns:a16="http://schemas.microsoft.com/office/drawing/2014/main" id="{00000000-0008-0000-0400-00003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58</xdr:row>
          <xdr:rowOff>28575</xdr:rowOff>
        </xdr:from>
        <xdr:to>
          <xdr:col>43</xdr:col>
          <xdr:colOff>28575</xdr:colOff>
          <xdr:row>58</xdr:row>
          <xdr:rowOff>295275</xdr:rowOff>
        </xdr:to>
        <xdr:sp macro="" textlink="">
          <xdr:nvSpPr>
            <xdr:cNvPr id="26679" name="Check Box 55" hidden="1">
              <a:extLst>
                <a:ext uri="{63B3BB69-23CF-44E3-9099-C40C66FF867C}">
                  <a14:compatExt spid="_x0000_s26679"/>
                </a:ext>
                <a:ext uri="{FF2B5EF4-FFF2-40B4-BE49-F238E27FC236}">
                  <a16:creationId xmlns:a16="http://schemas.microsoft.com/office/drawing/2014/main" id="{00000000-0008-0000-0400-00003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19</xdr:row>
          <xdr:rowOff>28575</xdr:rowOff>
        </xdr:from>
        <xdr:to>
          <xdr:col>15</xdr:col>
          <xdr:colOff>180975</xdr:colOff>
          <xdr:row>19</xdr:row>
          <xdr:rowOff>295275</xdr:rowOff>
        </xdr:to>
        <xdr:sp macro="" textlink="">
          <xdr:nvSpPr>
            <xdr:cNvPr id="26680" name="Check Box 56" hidden="1">
              <a:extLst>
                <a:ext uri="{63B3BB69-23CF-44E3-9099-C40C66FF867C}">
                  <a14:compatExt spid="_x0000_s26680"/>
                </a:ext>
                <a:ext uri="{FF2B5EF4-FFF2-40B4-BE49-F238E27FC236}">
                  <a16:creationId xmlns:a16="http://schemas.microsoft.com/office/drawing/2014/main" id="{00000000-0008-0000-0400-00003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19</xdr:row>
          <xdr:rowOff>28575</xdr:rowOff>
        </xdr:from>
        <xdr:to>
          <xdr:col>24</xdr:col>
          <xdr:colOff>180975</xdr:colOff>
          <xdr:row>19</xdr:row>
          <xdr:rowOff>295275</xdr:rowOff>
        </xdr:to>
        <xdr:sp macro="" textlink="">
          <xdr:nvSpPr>
            <xdr:cNvPr id="26681" name="Check Box 57" hidden="1">
              <a:extLst>
                <a:ext uri="{63B3BB69-23CF-44E3-9099-C40C66FF867C}">
                  <a14:compatExt spid="_x0000_s26681"/>
                </a:ext>
                <a:ext uri="{FF2B5EF4-FFF2-40B4-BE49-F238E27FC236}">
                  <a16:creationId xmlns:a16="http://schemas.microsoft.com/office/drawing/2014/main" id="{00000000-0008-0000-0400-00003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19</xdr:row>
          <xdr:rowOff>28575</xdr:rowOff>
        </xdr:from>
        <xdr:to>
          <xdr:col>31</xdr:col>
          <xdr:colOff>180975</xdr:colOff>
          <xdr:row>19</xdr:row>
          <xdr:rowOff>295275</xdr:rowOff>
        </xdr:to>
        <xdr:sp macro="" textlink="">
          <xdr:nvSpPr>
            <xdr:cNvPr id="26682" name="Check Box 58" hidden="1">
              <a:extLst>
                <a:ext uri="{63B3BB69-23CF-44E3-9099-C40C66FF867C}">
                  <a14:compatExt spid="_x0000_s26682"/>
                </a:ext>
                <a:ext uri="{FF2B5EF4-FFF2-40B4-BE49-F238E27FC236}">
                  <a16:creationId xmlns:a16="http://schemas.microsoft.com/office/drawing/2014/main" id="{00000000-0008-0000-0400-00003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21</xdr:row>
          <xdr:rowOff>38100</xdr:rowOff>
        </xdr:from>
        <xdr:to>
          <xdr:col>12</xdr:col>
          <xdr:colOff>219075</xdr:colOff>
          <xdr:row>21</xdr:row>
          <xdr:rowOff>304800</xdr:rowOff>
        </xdr:to>
        <xdr:sp macro="" textlink="">
          <xdr:nvSpPr>
            <xdr:cNvPr id="26683" name="Check Box 59" hidden="1">
              <a:extLst>
                <a:ext uri="{63B3BB69-23CF-44E3-9099-C40C66FF867C}">
                  <a14:compatExt spid="_x0000_s26683"/>
                </a:ext>
                <a:ext uri="{FF2B5EF4-FFF2-40B4-BE49-F238E27FC236}">
                  <a16:creationId xmlns:a16="http://schemas.microsoft.com/office/drawing/2014/main" id="{00000000-0008-0000-0400-00003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19</xdr:row>
          <xdr:rowOff>28575</xdr:rowOff>
        </xdr:from>
        <xdr:to>
          <xdr:col>43</xdr:col>
          <xdr:colOff>28575</xdr:colOff>
          <xdr:row>19</xdr:row>
          <xdr:rowOff>295275</xdr:rowOff>
        </xdr:to>
        <xdr:sp macro="" textlink="">
          <xdr:nvSpPr>
            <xdr:cNvPr id="26684" name="Check Box 60" hidden="1">
              <a:extLst>
                <a:ext uri="{63B3BB69-23CF-44E3-9099-C40C66FF867C}">
                  <a14:compatExt spid="_x0000_s26684"/>
                </a:ext>
                <a:ext uri="{FF2B5EF4-FFF2-40B4-BE49-F238E27FC236}">
                  <a16:creationId xmlns:a16="http://schemas.microsoft.com/office/drawing/2014/main" id="{00000000-0008-0000-0400-00003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34</xdr:row>
          <xdr:rowOff>38100</xdr:rowOff>
        </xdr:from>
        <xdr:to>
          <xdr:col>12</xdr:col>
          <xdr:colOff>219075</xdr:colOff>
          <xdr:row>34</xdr:row>
          <xdr:rowOff>304800</xdr:rowOff>
        </xdr:to>
        <xdr:sp macro="" textlink="">
          <xdr:nvSpPr>
            <xdr:cNvPr id="26685" name="Check Box 61" hidden="1">
              <a:extLst>
                <a:ext uri="{63B3BB69-23CF-44E3-9099-C40C66FF867C}">
                  <a14:compatExt spid="_x0000_s26685"/>
                </a:ext>
                <a:ext uri="{FF2B5EF4-FFF2-40B4-BE49-F238E27FC236}">
                  <a16:creationId xmlns:a16="http://schemas.microsoft.com/office/drawing/2014/main" id="{00000000-0008-0000-0400-00003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32</xdr:row>
          <xdr:rowOff>28575</xdr:rowOff>
        </xdr:from>
        <xdr:to>
          <xdr:col>15</xdr:col>
          <xdr:colOff>180975</xdr:colOff>
          <xdr:row>32</xdr:row>
          <xdr:rowOff>295275</xdr:rowOff>
        </xdr:to>
        <xdr:sp macro="" textlink="">
          <xdr:nvSpPr>
            <xdr:cNvPr id="26686" name="Check Box 62" hidden="1">
              <a:extLst>
                <a:ext uri="{63B3BB69-23CF-44E3-9099-C40C66FF867C}">
                  <a14:compatExt spid="_x0000_s26686"/>
                </a:ext>
                <a:ext uri="{FF2B5EF4-FFF2-40B4-BE49-F238E27FC236}">
                  <a16:creationId xmlns:a16="http://schemas.microsoft.com/office/drawing/2014/main" id="{00000000-0008-0000-0400-00003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32</xdr:row>
          <xdr:rowOff>28575</xdr:rowOff>
        </xdr:from>
        <xdr:to>
          <xdr:col>24</xdr:col>
          <xdr:colOff>180975</xdr:colOff>
          <xdr:row>32</xdr:row>
          <xdr:rowOff>295275</xdr:rowOff>
        </xdr:to>
        <xdr:sp macro="" textlink="">
          <xdr:nvSpPr>
            <xdr:cNvPr id="26687" name="Check Box 63" hidden="1">
              <a:extLst>
                <a:ext uri="{63B3BB69-23CF-44E3-9099-C40C66FF867C}">
                  <a14:compatExt spid="_x0000_s26687"/>
                </a:ext>
                <a:ext uri="{FF2B5EF4-FFF2-40B4-BE49-F238E27FC236}">
                  <a16:creationId xmlns:a16="http://schemas.microsoft.com/office/drawing/2014/main" id="{00000000-0008-0000-0400-00003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32</xdr:row>
          <xdr:rowOff>28575</xdr:rowOff>
        </xdr:from>
        <xdr:to>
          <xdr:col>31</xdr:col>
          <xdr:colOff>180975</xdr:colOff>
          <xdr:row>32</xdr:row>
          <xdr:rowOff>295275</xdr:rowOff>
        </xdr:to>
        <xdr:sp macro="" textlink="">
          <xdr:nvSpPr>
            <xdr:cNvPr id="26688" name="Check Box 64" hidden="1">
              <a:extLst>
                <a:ext uri="{63B3BB69-23CF-44E3-9099-C40C66FF867C}">
                  <a14:compatExt spid="_x0000_s26688"/>
                </a:ext>
                <a:ext uri="{FF2B5EF4-FFF2-40B4-BE49-F238E27FC236}">
                  <a16:creationId xmlns:a16="http://schemas.microsoft.com/office/drawing/2014/main" id="{00000000-0008-0000-0400-00004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32</xdr:row>
          <xdr:rowOff>28575</xdr:rowOff>
        </xdr:from>
        <xdr:to>
          <xdr:col>15</xdr:col>
          <xdr:colOff>180975</xdr:colOff>
          <xdr:row>32</xdr:row>
          <xdr:rowOff>295275</xdr:rowOff>
        </xdr:to>
        <xdr:sp macro="" textlink="">
          <xdr:nvSpPr>
            <xdr:cNvPr id="26689" name="Check Box 65" hidden="1">
              <a:extLst>
                <a:ext uri="{63B3BB69-23CF-44E3-9099-C40C66FF867C}">
                  <a14:compatExt spid="_x0000_s26689"/>
                </a:ext>
                <a:ext uri="{FF2B5EF4-FFF2-40B4-BE49-F238E27FC236}">
                  <a16:creationId xmlns:a16="http://schemas.microsoft.com/office/drawing/2014/main" id="{00000000-0008-0000-0400-00004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32</xdr:row>
          <xdr:rowOff>28575</xdr:rowOff>
        </xdr:from>
        <xdr:to>
          <xdr:col>24</xdr:col>
          <xdr:colOff>180975</xdr:colOff>
          <xdr:row>32</xdr:row>
          <xdr:rowOff>295275</xdr:rowOff>
        </xdr:to>
        <xdr:sp macro="" textlink="">
          <xdr:nvSpPr>
            <xdr:cNvPr id="26690" name="Check Box 66" hidden="1">
              <a:extLst>
                <a:ext uri="{63B3BB69-23CF-44E3-9099-C40C66FF867C}">
                  <a14:compatExt spid="_x0000_s26690"/>
                </a:ext>
                <a:ext uri="{FF2B5EF4-FFF2-40B4-BE49-F238E27FC236}">
                  <a16:creationId xmlns:a16="http://schemas.microsoft.com/office/drawing/2014/main" id="{00000000-0008-0000-0400-00004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32</xdr:row>
          <xdr:rowOff>28575</xdr:rowOff>
        </xdr:from>
        <xdr:to>
          <xdr:col>31</xdr:col>
          <xdr:colOff>180975</xdr:colOff>
          <xdr:row>32</xdr:row>
          <xdr:rowOff>295275</xdr:rowOff>
        </xdr:to>
        <xdr:sp macro="" textlink="">
          <xdr:nvSpPr>
            <xdr:cNvPr id="26691" name="Check Box 67" hidden="1">
              <a:extLst>
                <a:ext uri="{63B3BB69-23CF-44E3-9099-C40C66FF867C}">
                  <a14:compatExt spid="_x0000_s26691"/>
                </a:ext>
                <a:ext uri="{FF2B5EF4-FFF2-40B4-BE49-F238E27FC236}">
                  <a16:creationId xmlns:a16="http://schemas.microsoft.com/office/drawing/2014/main" id="{00000000-0008-0000-0400-00004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32</xdr:row>
          <xdr:rowOff>28575</xdr:rowOff>
        </xdr:from>
        <xdr:to>
          <xdr:col>43</xdr:col>
          <xdr:colOff>28575</xdr:colOff>
          <xdr:row>32</xdr:row>
          <xdr:rowOff>295275</xdr:rowOff>
        </xdr:to>
        <xdr:sp macro="" textlink="">
          <xdr:nvSpPr>
            <xdr:cNvPr id="26692" name="Check Box 68" hidden="1">
              <a:extLst>
                <a:ext uri="{63B3BB69-23CF-44E3-9099-C40C66FF867C}">
                  <a14:compatExt spid="_x0000_s26692"/>
                </a:ext>
                <a:ext uri="{FF2B5EF4-FFF2-40B4-BE49-F238E27FC236}">
                  <a16:creationId xmlns:a16="http://schemas.microsoft.com/office/drawing/2014/main" id="{00000000-0008-0000-0400-00004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32</xdr:row>
          <xdr:rowOff>28575</xdr:rowOff>
        </xdr:from>
        <xdr:to>
          <xdr:col>15</xdr:col>
          <xdr:colOff>180975</xdr:colOff>
          <xdr:row>32</xdr:row>
          <xdr:rowOff>295275</xdr:rowOff>
        </xdr:to>
        <xdr:sp macro="" textlink="">
          <xdr:nvSpPr>
            <xdr:cNvPr id="26693" name="Check Box 69" hidden="1">
              <a:extLst>
                <a:ext uri="{63B3BB69-23CF-44E3-9099-C40C66FF867C}">
                  <a14:compatExt spid="_x0000_s26693"/>
                </a:ext>
                <a:ext uri="{FF2B5EF4-FFF2-40B4-BE49-F238E27FC236}">
                  <a16:creationId xmlns:a16="http://schemas.microsoft.com/office/drawing/2014/main" id="{00000000-0008-0000-0400-00004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32</xdr:row>
          <xdr:rowOff>28575</xdr:rowOff>
        </xdr:from>
        <xdr:to>
          <xdr:col>24</xdr:col>
          <xdr:colOff>180975</xdr:colOff>
          <xdr:row>32</xdr:row>
          <xdr:rowOff>295275</xdr:rowOff>
        </xdr:to>
        <xdr:sp macro="" textlink="">
          <xdr:nvSpPr>
            <xdr:cNvPr id="26694" name="Check Box 70" hidden="1">
              <a:extLst>
                <a:ext uri="{63B3BB69-23CF-44E3-9099-C40C66FF867C}">
                  <a14:compatExt spid="_x0000_s26694"/>
                </a:ext>
                <a:ext uri="{FF2B5EF4-FFF2-40B4-BE49-F238E27FC236}">
                  <a16:creationId xmlns:a16="http://schemas.microsoft.com/office/drawing/2014/main" id="{00000000-0008-0000-0400-00004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32</xdr:row>
          <xdr:rowOff>28575</xdr:rowOff>
        </xdr:from>
        <xdr:to>
          <xdr:col>31</xdr:col>
          <xdr:colOff>180975</xdr:colOff>
          <xdr:row>32</xdr:row>
          <xdr:rowOff>295275</xdr:rowOff>
        </xdr:to>
        <xdr:sp macro="" textlink="">
          <xdr:nvSpPr>
            <xdr:cNvPr id="26695" name="Check Box 71" hidden="1">
              <a:extLst>
                <a:ext uri="{63B3BB69-23CF-44E3-9099-C40C66FF867C}">
                  <a14:compatExt spid="_x0000_s26695"/>
                </a:ext>
                <a:ext uri="{FF2B5EF4-FFF2-40B4-BE49-F238E27FC236}">
                  <a16:creationId xmlns:a16="http://schemas.microsoft.com/office/drawing/2014/main" id="{00000000-0008-0000-0400-00004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34</xdr:row>
          <xdr:rowOff>38100</xdr:rowOff>
        </xdr:from>
        <xdr:to>
          <xdr:col>12</xdr:col>
          <xdr:colOff>219075</xdr:colOff>
          <xdr:row>34</xdr:row>
          <xdr:rowOff>304800</xdr:rowOff>
        </xdr:to>
        <xdr:sp macro="" textlink="">
          <xdr:nvSpPr>
            <xdr:cNvPr id="26696" name="Check Box 72" hidden="1">
              <a:extLst>
                <a:ext uri="{63B3BB69-23CF-44E3-9099-C40C66FF867C}">
                  <a14:compatExt spid="_x0000_s26696"/>
                </a:ext>
                <a:ext uri="{FF2B5EF4-FFF2-40B4-BE49-F238E27FC236}">
                  <a16:creationId xmlns:a16="http://schemas.microsoft.com/office/drawing/2014/main" id="{00000000-0008-0000-0400-00004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32</xdr:row>
          <xdr:rowOff>28575</xdr:rowOff>
        </xdr:from>
        <xdr:to>
          <xdr:col>43</xdr:col>
          <xdr:colOff>28575</xdr:colOff>
          <xdr:row>32</xdr:row>
          <xdr:rowOff>295275</xdr:rowOff>
        </xdr:to>
        <xdr:sp macro="" textlink="">
          <xdr:nvSpPr>
            <xdr:cNvPr id="26697" name="Check Box 73" hidden="1">
              <a:extLst>
                <a:ext uri="{63B3BB69-23CF-44E3-9099-C40C66FF867C}">
                  <a14:compatExt spid="_x0000_s26697"/>
                </a:ext>
                <a:ext uri="{FF2B5EF4-FFF2-40B4-BE49-F238E27FC236}">
                  <a16:creationId xmlns:a16="http://schemas.microsoft.com/office/drawing/2014/main" id="{00000000-0008-0000-0400-00004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698" name="Check Box 74" hidden="1">
              <a:extLst>
                <a:ext uri="{63B3BB69-23CF-44E3-9099-C40C66FF867C}">
                  <a14:compatExt spid="_x0000_s26698"/>
                </a:ext>
                <a:ext uri="{FF2B5EF4-FFF2-40B4-BE49-F238E27FC236}">
                  <a16:creationId xmlns:a16="http://schemas.microsoft.com/office/drawing/2014/main" id="{00000000-0008-0000-0400-00004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699" name="Check Box 75" hidden="1">
              <a:extLst>
                <a:ext uri="{63B3BB69-23CF-44E3-9099-C40C66FF867C}">
                  <a14:compatExt spid="_x0000_s26699"/>
                </a:ext>
                <a:ext uri="{FF2B5EF4-FFF2-40B4-BE49-F238E27FC236}">
                  <a16:creationId xmlns:a16="http://schemas.microsoft.com/office/drawing/2014/main" id="{00000000-0008-0000-0400-00004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700" name="Check Box 76" hidden="1">
              <a:extLst>
                <a:ext uri="{63B3BB69-23CF-44E3-9099-C40C66FF867C}">
                  <a14:compatExt spid="_x0000_s26700"/>
                </a:ext>
                <a:ext uri="{FF2B5EF4-FFF2-40B4-BE49-F238E27FC236}">
                  <a16:creationId xmlns:a16="http://schemas.microsoft.com/office/drawing/2014/main" id="{00000000-0008-0000-0400-00004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701" name="Check Box 77" hidden="1">
              <a:extLst>
                <a:ext uri="{63B3BB69-23CF-44E3-9099-C40C66FF867C}">
                  <a14:compatExt spid="_x0000_s26701"/>
                </a:ext>
                <a:ext uri="{FF2B5EF4-FFF2-40B4-BE49-F238E27FC236}">
                  <a16:creationId xmlns:a16="http://schemas.microsoft.com/office/drawing/2014/main" id="{00000000-0008-0000-0400-00004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702" name="Check Box 78" hidden="1">
              <a:extLst>
                <a:ext uri="{63B3BB69-23CF-44E3-9099-C40C66FF867C}">
                  <a14:compatExt spid="_x0000_s26702"/>
                </a:ext>
                <a:ext uri="{FF2B5EF4-FFF2-40B4-BE49-F238E27FC236}">
                  <a16:creationId xmlns:a16="http://schemas.microsoft.com/office/drawing/2014/main" id="{00000000-0008-0000-0400-00004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703" name="Check Box 79" hidden="1">
              <a:extLst>
                <a:ext uri="{63B3BB69-23CF-44E3-9099-C40C66FF867C}">
                  <a14:compatExt spid="_x0000_s26703"/>
                </a:ext>
                <a:ext uri="{FF2B5EF4-FFF2-40B4-BE49-F238E27FC236}">
                  <a16:creationId xmlns:a16="http://schemas.microsoft.com/office/drawing/2014/main" id="{00000000-0008-0000-0400-00004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704" name="Check Box 80" hidden="1">
              <a:extLst>
                <a:ext uri="{63B3BB69-23CF-44E3-9099-C40C66FF867C}">
                  <a14:compatExt spid="_x0000_s26704"/>
                </a:ext>
                <a:ext uri="{FF2B5EF4-FFF2-40B4-BE49-F238E27FC236}">
                  <a16:creationId xmlns:a16="http://schemas.microsoft.com/office/drawing/2014/main" id="{00000000-0008-0000-0400-00005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705" name="Check Box 81" hidden="1">
              <a:extLst>
                <a:ext uri="{63B3BB69-23CF-44E3-9099-C40C66FF867C}">
                  <a14:compatExt spid="_x0000_s26705"/>
                </a:ext>
                <a:ext uri="{FF2B5EF4-FFF2-40B4-BE49-F238E27FC236}">
                  <a16:creationId xmlns:a16="http://schemas.microsoft.com/office/drawing/2014/main" id="{00000000-0008-0000-0400-00005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706" name="Check Box 82" hidden="1">
              <a:extLst>
                <a:ext uri="{63B3BB69-23CF-44E3-9099-C40C66FF867C}">
                  <a14:compatExt spid="_x0000_s26706"/>
                </a:ext>
                <a:ext uri="{FF2B5EF4-FFF2-40B4-BE49-F238E27FC236}">
                  <a16:creationId xmlns:a16="http://schemas.microsoft.com/office/drawing/2014/main" id="{00000000-0008-0000-0400-00005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45</xdr:row>
          <xdr:rowOff>28575</xdr:rowOff>
        </xdr:from>
        <xdr:to>
          <xdr:col>43</xdr:col>
          <xdr:colOff>28575</xdr:colOff>
          <xdr:row>45</xdr:row>
          <xdr:rowOff>295275</xdr:rowOff>
        </xdr:to>
        <xdr:sp macro="" textlink="">
          <xdr:nvSpPr>
            <xdr:cNvPr id="26707" name="Check Box 83" hidden="1">
              <a:extLst>
                <a:ext uri="{63B3BB69-23CF-44E3-9099-C40C66FF867C}">
                  <a14:compatExt spid="_x0000_s26707"/>
                </a:ext>
                <a:ext uri="{FF2B5EF4-FFF2-40B4-BE49-F238E27FC236}">
                  <a16:creationId xmlns:a16="http://schemas.microsoft.com/office/drawing/2014/main" id="{00000000-0008-0000-0400-00005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708" name="Check Box 84" hidden="1">
              <a:extLst>
                <a:ext uri="{63B3BB69-23CF-44E3-9099-C40C66FF867C}">
                  <a14:compatExt spid="_x0000_s26708"/>
                </a:ext>
                <a:ext uri="{FF2B5EF4-FFF2-40B4-BE49-F238E27FC236}">
                  <a16:creationId xmlns:a16="http://schemas.microsoft.com/office/drawing/2014/main" id="{00000000-0008-0000-0400-00005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709" name="Check Box 85" hidden="1">
              <a:extLst>
                <a:ext uri="{63B3BB69-23CF-44E3-9099-C40C66FF867C}">
                  <a14:compatExt spid="_x0000_s26709"/>
                </a:ext>
                <a:ext uri="{FF2B5EF4-FFF2-40B4-BE49-F238E27FC236}">
                  <a16:creationId xmlns:a16="http://schemas.microsoft.com/office/drawing/2014/main" id="{00000000-0008-0000-0400-00005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710" name="Check Box 86" hidden="1">
              <a:extLst>
                <a:ext uri="{63B3BB69-23CF-44E3-9099-C40C66FF867C}">
                  <a14:compatExt spid="_x0000_s26710"/>
                </a:ext>
                <a:ext uri="{FF2B5EF4-FFF2-40B4-BE49-F238E27FC236}">
                  <a16:creationId xmlns:a16="http://schemas.microsoft.com/office/drawing/2014/main" id="{00000000-0008-0000-0400-00005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711" name="Check Box 87" hidden="1">
              <a:extLst>
                <a:ext uri="{63B3BB69-23CF-44E3-9099-C40C66FF867C}">
                  <a14:compatExt spid="_x0000_s26711"/>
                </a:ext>
                <a:ext uri="{FF2B5EF4-FFF2-40B4-BE49-F238E27FC236}">
                  <a16:creationId xmlns:a16="http://schemas.microsoft.com/office/drawing/2014/main" id="{00000000-0008-0000-0400-00005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712" name="Check Box 88" hidden="1">
              <a:extLst>
                <a:ext uri="{63B3BB69-23CF-44E3-9099-C40C66FF867C}">
                  <a14:compatExt spid="_x0000_s26712"/>
                </a:ext>
                <a:ext uri="{FF2B5EF4-FFF2-40B4-BE49-F238E27FC236}">
                  <a16:creationId xmlns:a16="http://schemas.microsoft.com/office/drawing/2014/main" id="{00000000-0008-0000-0400-00005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713" name="Check Box 89" hidden="1">
              <a:extLst>
                <a:ext uri="{63B3BB69-23CF-44E3-9099-C40C66FF867C}">
                  <a14:compatExt spid="_x0000_s26713"/>
                </a:ext>
                <a:ext uri="{FF2B5EF4-FFF2-40B4-BE49-F238E27FC236}">
                  <a16:creationId xmlns:a16="http://schemas.microsoft.com/office/drawing/2014/main" id="{00000000-0008-0000-0400-00005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714" name="Check Box 90" hidden="1">
              <a:extLst>
                <a:ext uri="{63B3BB69-23CF-44E3-9099-C40C66FF867C}">
                  <a14:compatExt spid="_x0000_s26714"/>
                </a:ext>
                <a:ext uri="{FF2B5EF4-FFF2-40B4-BE49-F238E27FC236}">
                  <a16:creationId xmlns:a16="http://schemas.microsoft.com/office/drawing/2014/main" id="{00000000-0008-0000-0400-00005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45</xdr:row>
          <xdr:rowOff>28575</xdr:rowOff>
        </xdr:from>
        <xdr:to>
          <xdr:col>43</xdr:col>
          <xdr:colOff>28575</xdr:colOff>
          <xdr:row>45</xdr:row>
          <xdr:rowOff>295275</xdr:rowOff>
        </xdr:to>
        <xdr:sp macro="" textlink="">
          <xdr:nvSpPr>
            <xdr:cNvPr id="26715" name="Check Box 91" hidden="1">
              <a:extLst>
                <a:ext uri="{63B3BB69-23CF-44E3-9099-C40C66FF867C}">
                  <a14:compatExt spid="_x0000_s26715"/>
                </a:ext>
                <a:ext uri="{FF2B5EF4-FFF2-40B4-BE49-F238E27FC236}">
                  <a16:creationId xmlns:a16="http://schemas.microsoft.com/office/drawing/2014/main" id="{00000000-0008-0000-0400-00005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45</xdr:row>
          <xdr:rowOff>28575</xdr:rowOff>
        </xdr:from>
        <xdr:to>
          <xdr:col>15</xdr:col>
          <xdr:colOff>180975</xdr:colOff>
          <xdr:row>45</xdr:row>
          <xdr:rowOff>295275</xdr:rowOff>
        </xdr:to>
        <xdr:sp macro="" textlink="">
          <xdr:nvSpPr>
            <xdr:cNvPr id="26716" name="Check Box 92" hidden="1">
              <a:extLst>
                <a:ext uri="{63B3BB69-23CF-44E3-9099-C40C66FF867C}">
                  <a14:compatExt spid="_x0000_s26716"/>
                </a:ext>
                <a:ext uri="{FF2B5EF4-FFF2-40B4-BE49-F238E27FC236}">
                  <a16:creationId xmlns:a16="http://schemas.microsoft.com/office/drawing/2014/main" id="{00000000-0008-0000-0400-00005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45</xdr:row>
          <xdr:rowOff>28575</xdr:rowOff>
        </xdr:from>
        <xdr:to>
          <xdr:col>24</xdr:col>
          <xdr:colOff>180975</xdr:colOff>
          <xdr:row>45</xdr:row>
          <xdr:rowOff>295275</xdr:rowOff>
        </xdr:to>
        <xdr:sp macro="" textlink="">
          <xdr:nvSpPr>
            <xdr:cNvPr id="26717" name="Check Box 93" hidden="1">
              <a:extLst>
                <a:ext uri="{63B3BB69-23CF-44E3-9099-C40C66FF867C}">
                  <a14:compatExt spid="_x0000_s26717"/>
                </a:ext>
                <a:ext uri="{FF2B5EF4-FFF2-40B4-BE49-F238E27FC236}">
                  <a16:creationId xmlns:a16="http://schemas.microsoft.com/office/drawing/2014/main" id="{00000000-0008-0000-0400-00005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45</xdr:row>
          <xdr:rowOff>28575</xdr:rowOff>
        </xdr:from>
        <xdr:to>
          <xdr:col>31</xdr:col>
          <xdr:colOff>180975</xdr:colOff>
          <xdr:row>45</xdr:row>
          <xdr:rowOff>295275</xdr:rowOff>
        </xdr:to>
        <xdr:sp macro="" textlink="">
          <xdr:nvSpPr>
            <xdr:cNvPr id="26718" name="Check Box 94" hidden="1">
              <a:extLst>
                <a:ext uri="{63B3BB69-23CF-44E3-9099-C40C66FF867C}">
                  <a14:compatExt spid="_x0000_s26718"/>
                </a:ext>
                <a:ext uri="{FF2B5EF4-FFF2-40B4-BE49-F238E27FC236}">
                  <a16:creationId xmlns:a16="http://schemas.microsoft.com/office/drawing/2014/main" id="{00000000-0008-0000-0400-00005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47</xdr:row>
          <xdr:rowOff>38100</xdr:rowOff>
        </xdr:from>
        <xdr:to>
          <xdr:col>12</xdr:col>
          <xdr:colOff>219075</xdr:colOff>
          <xdr:row>47</xdr:row>
          <xdr:rowOff>304800</xdr:rowOff>
        </xdr:to>
        <xdr:sp macro="" textlink="">
          <xdr:nvSpPr>
            <xdr:cNvPr id="26719" name="Check Box 95" hidden="1">
              <a:extLst>
                <a:ext uri="{63B3BB69-23CF-44E3-9099-C40C66FF867C}">
                  <a14:compatExt spid="_x0000_s26719"/>
                </a:ext>
                <a:ext uri="{FF2B5EF4-FFF2-40B4-BE49-F238E27FC236}">
                  <a16:creationId xmlns:a16="http://schemas.microsoft.com/office/drawing/2014/main" id="{00000000-0008-0000-0400-00005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45</xdr:row>
          <xdr:rowOff>28575</xdr:rowOff>
        </xdr:from>
        <xdr:to>
          <xdr:col>43</xdr:col>
          <xdr:colOff>28575</xdr:colOff>
          <xdr:row>45</xdr:row>
          <xdr:rowOff>295275</xdr:rowOff>
        </xdr:to>
        <xdr:sp macro="" textlink="">
          <xdr:nvSpPr>
            <xdr:cNvPr id="26720" name="Check Box 96" hidden="1">
              <a:extLst>
                <a:ext uri="{63B3BB69-23CF-44E3-9099-C40C66FF867C}">
                  <a14:compatExt spid="_x0000_s26720"/>
                </a:ext>
                <a:ext uri="{FF2B5EF4-FFF2-40B4-BE49-F238E27FC236}">
                  <a16:creationId xmlns:a16="http://schemas.microsoft.com/office/drawing/2014/main" id="{00000000-0008-0000-0400-00006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21" name="Check Box 97" hidden="1">
              <a:extLst>
                <a:ext uri="{63B3BB69-23CF-44E3-9099-C40C66FF867C}">
                  <a14:compatExt spid="_x0000_s26721"/>
                </a:ext>
                <a:ext uri="{FF2B5EF4-FFF2-40B4-BE49-F238E27FC236}">
                  <a16:creationId xmlns:a16="http://schemas.microsoft.com/office/drawing/2014/main" id="{00000000-0008-0000-0400-00006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22" name="Check Box 98" hidden="1">
              <a:extLst>
                <a:ext uri="{63B3BB69-23CF-44E3-9099-C40C66FF867C}">
                  <a14:compatExt spid="_x0000_s26722"/>
                </a:ext>
                <a:ext uri="{FF2B5EF4-FFF2-40B4-BE49-F238E27FC236}">
                  <a16:creationId xmlns:a16="http://schemas.microsoft.com/office/drawing/2014/main" id="{00000000-0008-0000-0400-00006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23" name="Check Box 99" hidden="1">
              <a:extLst>
                <a:ext uri="{63B3BB69-23CF-44E3-9099-C40C66FF867C}">
                  <a14:compatExt spid="_x0000_s26723"/>
                </a:ext>
                <a:ext uri="{FF2B5EF4-FFF2-40B4-BE49-F238E27FC236}">
                  <a16:creationId xmlns:a16="http://schemas.microsoft.com/office/drawing/2014/main" id="{00000000-0008-0000-0400-00006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24" name="Check Box 100" hidden="1">
              <a:extLst>
                <a:ext uri="{63B3BB69-23CF-44E3-9099-C40C66FF867C}">
                  <a14:compatExt spid="_x0000_s26724"/>
                </a:ext>
                <a:ext uri="{FF2B5EF4-FFF2-40B4-BE49-F238E27FC236}">
                  <a16:creationId xmlns:a16="http://schemas.microsoft.com/office/drawing/2014/main" id="{00000000-0008-0000-0400-00006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25" name="Check Box 101" hidden="1">
              <a:extLst>
                <a:ext uri="{63B3BB69-23CF-44E3-9099-C40C66FF867C}">
                  <a14:compatExt spid="_x0000_s26725"/>
                </a:ext>
                <a:ext uri="{FF2B5EF4-FFF2-40B4-BE49-F238E27FC236}">
                  <a16:creationId xmlns:a16="http://schemas.microsoft.com/office/drawing/2014/main" id="{00000000-0008-0000-0400-00006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26" name="Check Box 102" hidden="1">
              <a:extLst>
                <a:ext uri="{63B3BB69-23CF-44E3-9099-C40C66FF867C}">
                  <a14:compatExt spid="_x0000_s26726"/>
                </a:ext>
                <a:ext uri="{FF2B5EF4-FFF2-40B4-BE49-F238E27FC236}">
                  <a16:creationId xmlns:a16="http://schemas.microsoft.com/office/drawing/2014/main" id="{00000000-0008-0000-0400-00006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27" name="Check Box 103" hidden="1">
              <a:extLst>
                <a:ext uri="{63B3BB69-23CF-44E3-9099-C40C66FF867C}">
                  <a14:compatExt spid="_x0000_s26727"/>
                </a:ext>
                <a:ext uri="{FF2B5EF4-FFF2-40B4-BE49-F238E27FC236}">
                  <a16:creationId xmlns:a16="http://schemas.microsoft.com/office/drawing/2014/main" id="{00000000-0008-0000-0400-00006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28" name="Check Box 104" hidden="1">
              <a:extLst>
                <a:ext uri="{63B3BB69-23CF-44E3-9099-C40C66FF867C}">
                  <a14:compatExt spid="_x0000_s26728"/>
                </a:ext>
                <a:ext uri="{FF2B5EF4-FFF2-40B4-BE49-F238E27FC236}">
                  <a16:creationId xmlns:a16="http://schemas.microsoft.com/office/drawing/2014/main" id="{00000000-0008-0000-0400-00006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29" name="Check Box 105" hidden="1">
              <a:extLst>
                <a:ext uri="{63B3BB69-23CF-44E3-9099-C40C66FF867C}">
                  <a14:compatExt spid="_x0000_s26729"/>
                </a:ext>
                <a:ext uri="{FF2B5EF4-FFF2-40B4-BE49-F238E27FC236}">
                  <a16:creationId xmlns:a16="http://schemas.microsoft.com/office/drawing/2014/main" id="{00000000-0008-0000-0400-00006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30" name="Check Box 106" hidden="1">
              <a:extLst>
                <a:ext uri="{63B3BB69-23CF-44E3-9099-C40C66FF867C}">
                  <a14:compatExt spid="_x0000_s26730"/>
                </a:ext>
                <a:ext uri="{FF2B5EF4-FFF2-40B4-BE49-F238E27FC236}">
                  <a16:creationId xmlns:a16="http://schemas.microsoft.com/office/drawing/2014/main" id="{00000000-0008-0000-0400-00006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31" name="Check Box 107" hidden="1">
              <a:extLst>
                <a:ext uri="{63B3BB69-23CF-44E3-9099-C40C66FF867C}">
                  <a14:compatExt spid="_x0000_s26731"/>
                </a:ext>
                <a:ext uri="{FF2B5EF4-FFF2-40B4-BE49-F238E27FC236}">
                  <a16:creationId xmlns:a16="http://schemas.microsoft.com/office/drawing/2014/main" id="{00000000-0008-0000-0400-00006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32" name="Check Box 108" hidden="1">
              <a:extLst>
                <a:ext uri="{63B3BB69-23CF-44E3-9099-C40C66FF867C}">
                  <a14:compatExt spid="_x0000_s26732"/>
                </a:ext>
                <a:ext uri="{FF2B5EF4-FFF2-40B4-BE49-F238E27FC236}">
                  <a16:creationId xmlns:a16="http://schemas.microsoft.com/office/drawing/2014/main" id="{00000000-0008-0000-0400-00006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58</xdr:row>
          <xdr:rowOff>28575</xdr:rowOff>
        </xdr:from>
        <xdr:to>
          <xdr:col>43</xdr:col>
          <xdr:colOff>28575</xdr:colOff>
          <xdr:row>58</xdr:row>
          <xdr:rowOff>295275</xdr:rowOff>
        </xdr:to>
        <xdr:sp macro="" textlink="">
          <xdr:nvSpPr>
            <xdr:cNvPr id="26733" name="Check Box 109" hidden="1">
              <a:extLst>
                <a:ext uri="{63B3BB69-23CF-44E3-9099-C40C66FF867C}">
                  <a14:compatExt spid="_x0000_s26733"/>
                </a:ext>
                <a:ext uri="{FF2B5EF4-FFF2-40B4-BE49-F238E27FC236}">
                  <a16:creationId xmlns:a16="http://schemas.microsoft.com/office/drawing/2014/main" id="{00000000-0008-0000-0400-00006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34" name="Check Box 110" hidden="1">
              <a:extLst>
                <a:ext uri="{63B3BB69-23CF-44E3-9099-C40C66FF867C}">
                  <a14:compatExt spid="_x0000_s26734"/>
                </a:ext>
                <a:ext uri="{FF2B5EF4-FFF2-40B4-BE49-F238E27FC236}">
                  <a16:creationId xmlns:a16="http://schemas.microsoft.com/office/drawing/2014/main" id="{00000000-0008-0000-0400-00006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35" name="Check Box 111" hidden="1">
              <a:extLst>
                <a:ext uri="{63B3BB69-23CF-44E3-9099-C40C66FF867C}">
                  <a14:compatExt spid="_x0000_s26735"/>
                </a:ext>
                <a:ext uri="{FF2B5EF4-FFF2-40B4-BE49-F238E27FC236}">
                  <a16:creationId xmlns:a16="http://schemas.microsoft.com/office/drawing/2014/main" id="{00000000-0008-0000-0400-00006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36" name="Check Box 112" hidden="1">
              <a:extLst>
                <a:ext uri="{63B3BB69-23CF-44E3-9099-C40C66FF867C}">
                  <a14:compatExt spid="_x0000_s26736"/>
                </a:ext>
                <a:ext uri="{FF2B5EF4-FFF2-40B4-BE49-F238E27FC236}">
                  <a16:creationId xmlns:a16="http://schemas.microsoft.com/office/drawing/2014/main" id="{00000000-0008-0000-0400-00007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37" name="Check Box 113" hidden="1">
              <a:extLst>
                <a:ext uri="{63B3BB69-23CF-44E3-9099-C40C66FF867C}">
                  <a14:compatExt spid="_x0000_s26737"/>
                </a:ext>
                <a:ext uri="{FF2B5EF4-FFF2-40B4-BE49-F238E27FC236}">
                  <a16:creationId xmlns:a16="http://schemas.microsoft.com/office/drawing/2014/main" id="{00000000-0008-0000-0400-00007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38" name="Check Box 114" hidden="1">
              <a:extLst>
                <a:ext uri="{63B3BB69-23CF-44E3-9099-C40C66FF867C}">
                  <a14:compatExt spid="_x0000_s26738"/>
                </a:ext>
                <a:ext uri="{FF2B5EF4-FFF2-40B4-BE49-F238E27FC236}">
                  <a16:creationId xmlns:a16="http://schemas.microsoft.com/office/drawing/2014/main" id="{00000000-0008-0000-0400-00007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39" name="Check Box 115" hidden="1">
              <a:extLst>
                <a:ext uri="{63B3BB69-23CF-44E3-9099-C40C66FF867C}">
                  <a14:compatExt spid="_x0000_s26739"/>
                </a:ext>
                <a:ext uri="{FF2B5EF4-FFF2-40B4-BE49-F238E27FC236}">
                  <a16:creationId xmlns:a16="http://schemas.microsoft.com/office/drawing/2014/main" id="{00000000-0008-0000-0400-00007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40" name="Check Box 116" hidden="1">
              <a:extLst>
                <a:ext uri="{63B3BB69-23CF-44E3-9099-C40C66FF867C}">
                  <a14:compatExt spid="_x0000_s26740"/>
                </a:ext>
                <a:ext uri="{FF2B5EF4-FFF2-40B4-BE49-F238E27FC236}">
                  <a16:creationId xmlns:a16="http://schemas.microsoft.com/office/drawing/2014/main" id="{00000000-0008-0000-0400-00007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41" name="Check Box 117" hidden="1">
              <a:extLst>
                <a:ext uri="{63B3BB69-23CF-44E3-9099-C40C66FF867C}">
                  <a14:compatExt spid="_x0000_s26741"/>
                </a:ext>
                <a:ext uri="{FF2B5EF4-FFF2-40B4-BE49-F238E27FC236}">
                  <a16:creationId xmlns:a16="http://schemas.microsoft.com/office/drawing/2014/main" id="{00000000-0008-0000-0400-000075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42" name="Check Box 118" hidden="1">
              <a:extLst>
                <a:ext uri="{63B3BB69-23CF-44E3-9099-C40C66FF867C}">
                  <a14:compatExt spid="_x0000_s26742"/>
                </a:ext>
                <a:ext uri="{FF2B5EF4-FFF2-40B4-BE49-F238E27FC236}">
                  <a16:creationId xmlns:a16="http://schemas.microsoft.com/office/drawing/2014/main" id="{00000000-0008-0000-0400-000076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58</xdr:row>
          <xdr:rowOff>28575</xdr:rowOff>
        </xdr:from>
        <xdr:to>
          <xdr:col>43</xdr:col>
          <xdr:colOff>28575</xdr:colOff>
          <xdr:row>58</xdr:row>
          <xdr:rowOff>295275</xdr:rowOff>
        </xdr:to>
        <xdr:sp macro="" textlink="">
          <xdr:nvSpPr>
            <xdr:cNvPr id="26743" name="Check Box 119" hidden="1">
              <a:extLst>
                <a:ext uri="{63B3BB69-23CF-44E3-9099-C40C66FF867C}">
                  <a14:compatExt spid="_x0000_s26743"/>
                </a:ext>
                <a:ext uri="{FF2B5EF4-FFF2-40B4-BE49-F238E27FC236}">
                  <a16:creationId xmlns:a16="http://schemas.microsoft.com/office/drawing/2014/main" id="{00000000-0008-0000-0400-000077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44" name="Check Box 120" hidden="1">
              <a:extLst>
                <a:ext uri="{63B3BB69-23CF-44E3-9099-C40C66FF867C}">
                  <a14:compatExt spid="_x0000_s26744"/>
                </a:ext>
                <a:ext uri="{FF2B5EF4-FFF2-40B4-BE49-F238E27FC236}">
                  <a16:creationId xmlns:a16="http://schemas.microsoft.com/office/drawing/2014/main" id="{00000000-0008-0000-0400-000078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45" name="Check Box 121" hidden="1">
              <a:extLst>
                <a:ext uri="{63B3BB69-23CF-44E3-9099-C40C66FF867C}">
                  <a14:compatExt spid="_x0000_s26745"/>
                </a:ext>
                <a:ext uri="{FF2B5EF4-FFF2-40B4-BE49-F238E27FC236}">
                  <a16:creationId xmlns:a16="http://schemas.microsoft.com/office/drawing/2014/main" id="{00000000-0008-0000-0400-000079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46" name="Check Box 122" hidden="1">
              <a:extLst>
                <a:ext uri="{63B3BB69-23CF-44E3-9099-C40C66FF867C}">
                  <a14:compatExt spid="_x0000_s26746"/>
                </a:ext>
                <a:ext uri="{FF2B5EF4-FFF2-40B4-BE49-F238E27FC236}">
                  <a16:creationId xmlns:a16="http://schemas.microsoft.com/office/drawing/2014/main" id="{00000000-0008-0000-0400-00007A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47" name="Check Box 123" hidden="1">
              <a:extLst>
                <a:ext uri="{63B3BB69-23CF-44E3-9099-C40C66FF867C}">
                  <a14:compatExt spid="_x0000_s26747"/>
                </a:ext>
                <a:ext uri="{FF2B5EF4-FFF2-40B4-BE49-F238E27FC236}">
                  <a16:creationId xmlns:a16="http://schemas.microsoft.com/office/drawing/2014/main" id="{00000000-0008-0000-0400-00007B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48" name="Check Box 124" hidden="1">
              <a:extLst>
                <a:ext uri="{63B3BB69-23CF-44E3-9099-C40C66FF867C}">
                  <a14:compatExt spid="_x0000_s26748"/>
                </a:ext>
                <a:ext uri="{FF2B5EF4-FFF2-40B4-BE49-F238E27FC236}">
                  <a16:creationId xmlns:a16="http://schemas.microsoft.com/office/drawing/2014/main" id="{00000000-0008-0000-0400-00007C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49" name="Check Box 125" hidden="1">
              <a:extLst>
                <a:ext uri="{63B3BB69-23CF-44E3-9099-C40C66FF867C}">
                  <a14:compatExt spid="_x0000_s26749"/>
                </a:ext>
                <a:ext uri="{FF2B5EF4-FFF2-40B4-BE49-F238E27FC236}">
                  <a16:creationId xmlns:a16="http://schemas.microsoft.com/office/drawing/2014/main" id="{00000000-0008-0000-0400-00007D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50" name="Check Box 126" hidden="1">
              <a:extLst>
                <a:ext uri="{63B3BB69-23CF-44E3-9099-C40C66FF867C}">
                  <a14:compatExt spid="_x0000_s26750"/>
                </a:ext>
                <a:ext uri="{FF2B5EF4-FFF2-40B4-BE49-F238E27FC236}">
                  <a16:creationId xmlns:a16="http://schemas.microsoft.com/office/drawing/2014/main" id="{00000000-0008-0000-0400-00007E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58</xdr:row>
          <xdr:rowOff>28575</xdr:rowOff>
        </xdr:from>
        <xdr:to>
          <xdr:col>43</xdr:col>
          <xdr:colOff>28575</xdr:colOff>
          <xdr:row>58</xdr:row>
          <xdr:rowOff>295275</xdr:rowOff>
        </xdr:to>
        <xdr:sp macro="" textlink="">
          <xdr:nvSpPr>
            <xdr:cNvPr id="26751" name="Check Box 127" hidden="1">
              <a:extLst>
                <a:ext uri="{63B3BB69-23CF-44E3-9099-C40C66FF867C}">
                  <a14:compatExt spid="_x0000_s26751"/>
                </a:ext>
                <a:ext uri="{FF2B5EF4-FFF2-40B4-BE49-F238E27FC236}">
                  <a16:creationId xmlns:a16="http://schemas.microsoft.com/office/drawing/2014/main" id="{00000000-0008-0000-0400-00007F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58</xdr:row>
          <xdr:rowOff>28575</xdr:rowOff>
        </xdr:from>
        <xdr:to>
          <xdr:col>15</xdr:col>
          <xdr:colOff>180975</xdr:colOff>
          <xdr:row>58</xdr:row>
          <xdr:rowOff>295275</xdr:rowOff>
        </xdr:to>
        <xdr:sp macro="" textlink="">
          <xdr:nvSpPr>
            <xdr:cNvPr id="26752" name="Check Box 128" hidden="1">
              <a:extLst>
                <a:ext uri="{63B3BB69-23CF-44E3-9099-C40C66FF867C}">
                  <a14:compatExt spid="_x0000_s26752"/>
                </a:ext>
                <a:ext uri="{FF2B5EF4-FFF2-40B4-BE49-F238E27FC236}">
                  <a16:creationId xmlns:a16="http://schemas.microsoft.com/office/drawing/2014/main" id="{00000000-0008-0000-0400-000080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58</xdr:row>
          <xdr:rowOff>28575</xdr:rowOff>
        </xdr:from>
        <xdr:to>
          <xdr:col>24</xdr:col>
          <xdr:colOff>180975</xdr:colOff>
          <xdr:row>58</xdr:row>
          <xdr:rowOff>295275</xdr:rowOff>
        </xdr:to>
        <xdr:sp macro="" textlink="">
          <xdr:nvSpPr>
            <xdr:cNvPr id="26753" name="Check Box 129" hidden="1">
              <a:extLst>
                <a:ext uri="{63B3BB69-23CF-44E3-9099-C40C66FF867C}">
                  <a14:compatExt spid="_x0000_s26753"/>
                </a:ext>
                <a:ext uri="{FF2B5EF4-FFF2-40B4-BE49-F238E27FC236}">
                  <a16:creationId xmlns:a16="http://schemas.microsoft.com/office/drawing/2014/main" id="{00000000-0008-0000-0400-000081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133350</xdr:colOff>
          <xdr:row>58</xdr:row>
          <xdr:rowOff>28575</xdr:rowOff>
        </xdr:from>
        <xdr:to>
          <xdr:col>31</xdr:col>
          <xdr:colOff>180975</xdr:colOff>
          <xdr:row>58</xdr:row>
          <xdr:rowOff>295275</xdr:rowOff>
        </xdr:to>
        <xdr:sp macro="" textlink="">
          <xdr:nvSpPr>
            <xdr:cNvPr id="26754" name="Check Box 130" hidden="1">
              <a:extLst>
                <a:ext uri="{63B3BB69-23CF-44E3-9099-C40C66FF867C}">
                  <a14:compatExt spid="_x0000_s26754"/>
                </a:ext>
                <a:ext uri="{FF2B5EF4-FFF2-40B4-BE49-F238E27FC236}">
                  <a16:creationId xmlns:a16="http://schemas.microsoft.com/office/drawing/2014/main" id="{00000000-0008-0000-0400-000082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60</xdr:row>
          <xdr:rowOff>38100</xdr:rowOff>
        </xdr:from>
        <xdr:to>
          <xdr:col>12</xdr:col>
          <xdr:colOff>219075</xdr:colOff>
          <xdr:row>61</xdr:row>
          <xdr:rowOff>104775</xdr:rowOff>
        </xdr:to>
        <xdr:sp macro="" textlink="">
          <xdr:nvSpPr>
            <xdr:cNvPr id="26755" name="Check Box 131" hidden="1">
              <a:extLst>
                <a:ext uri="{63B3BB69-23CF-44E3-9099-C40C66FF867C}">
                  <a14:compatExt spid="_x0000_s26755"/>
                </a:ext>
                <a:ext uri="{FF2B5EF4-FFF2-40B4-BE49-F238E27FC236}">
                  <a16:creationId xmlns:a16="http://schemas.microsoft.com/office/drawing/2014/main" id="{00000000-0008-0000-0400-000083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133350</xdr:colOff>
          <xdr:row>58</xdr:row>
          <xdr:rowOff>28575</xdr:rowOff>
        </xdr:from>
        <xdr:to>
          <xdr:col>43</xdr:col>
          <xdr:colOff>28575</xdr:colOff>
          <xdr:row>58</xdr:row>
          <xdr:rowOff>295275</xdr:rowOff>
        </xdr:to>
        <xdr:sp macro="" textlink="">
          <xdr:nvSpPr>
            <xdr:cNvPr id="26756" name="Check Box 132" hidden="1">
              <a:extLst>
                <a:ext uri="{63B3BB69-23CF-44E3-9099-C40C66FF867C}">
                  <a14:compatExt spid="_x0000_s26756"/>
                </a:ext>
                <a:ext uri="{FF2B5EF4-FFF2-40B4-BE49-F238E27FC236}">
                  <a16:creationId xmlns:a16="http://schemas.microsoft.com/office/drawing/2014/main" id="{00000000-0008-0000-0400-0000846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80080</xdr:colOff>
      <xdr:row>1</xdr:row>
      <xdr:rowOff>23813</xdr:rowOff>
    </xdr:from>
    <xdr:to>
      <xdr:col>12</xdr:col>
      <xdr:colOff>1677</xdr:colOff>
      <xdr:row>1</xdr:row>
      <xdr:rowOff>715963</xdr:rowOff>
    </xdr:to>
    <xdr:pic>
      <xdr:nvPicPr>
        <xdr:cNvPr id="3" name="Picture 32" descr="image_gallery?uuid=1fe2d0b6-ed0f-40e5-a1da-65ef2efd7ab8&amp;groupId=18&amp;t=1293719668134">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705" y="206376"/>
          <a:ext cx="2386192"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20983</xdr:colOff>
      <xdr:row>1</xdr:row>
      <xdr:rowOff>14507</xdr:rowOff>
    </xdr:from>
    <xdr:to>
      <xdr:col>7</xdr:col>
      <xdr:colOff>112092</xdr:colOff>
      <xdr:row>1</xdr:row>
      <xdr:rowOff>491021</xdr:rowOff>
    </xdr:to>
    <xdr:pic>
      <xdr:nvPicPr>
        <xdr:cNvPr id="3" name="Picture 32" descr="image_gallery?uuid=1fe2d0b6-ed0f-40e5-a1da-65ef2efd7ab8&amp;groupId=18&amp;t=1293719668134">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333" y="173257"/>
          <a:ext cx="1653209" cy="476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9525</xdr:colOff>
          <xdr:row>0</xdr:row>
          <xdr:rowOff>9525</xdr:rowOff>
        </xdr:from>
        <xdr:to>
          <xdr:col>101</xdr:col>
          <xdr:colOff>104775</xdr:colOff>
          <xdr:row>0</xdr:row>
          <xdr:rowOff>828675</xdr:rowOff>
        </xdr:to>
        <xdr:sp macro="" textlink="">
          <xdr:nvSpPr>
            <xdr:cNvPr id="23553" name="Object 1" hidden="1">
              <a:extLst>
                <a:ext uri="{63B3BB69-23CF-44E3-9099-C40C66FF867C}">
                  <a14:compatExt spid="_x0000_s23553"/>
                </a:ext>
                <a:ext uri="{FF2B5EF4-FFF2-40B4-BE49-F238E27FC236}">
                  <a16:creationId xmlns:a16="http://schemas.microsoft.com/office/drawing/2014/main" id="{00000000-0008-0000-0800-0000015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104775</xdr:colOff>
          <xdr:row>8</xdr:row>
          <xdr:rowOff>133350</xdr:rowOff>
        </xdr:from>
        <xdr:to>
          <xdr:col>91</xdr:col>
          <xdr:colOff>142875</xdr:colOff>
          <xdr:row>10</xdr:row>
          <xdr:rowOff>28575</xdr:rowOff>
        </xdr:to>
        <xdr:sp macro="" textlink="">
          <xdr:nvSpPr>
            <xdr:cNvPr id="23571" name="Check Box 19" hidden="1">
              <a:extLst>
                <a:ext uri="{63B3BB69-23CF-44E3-9099-C40C66FF867C}">
                  <a14:compatExt spid="_x0000_s23571"/>
                </a:ext>
                <a:ext uri="{FF2B5EF4-FFF2-40B4-BE49-F238E27FC236}">
                  <a16:creationId xmlns:a16="http://schemas.microsoft.com/office/drawing/2014/main" id="{00000000-0008-0000-0800-000013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95250</xdr:colOff>
          <xdr:row>8</xdr:row>
          <xdr:rowOff>133350</xdr:rowOff>
        </xdr:from>
        <xdr:to>
          <xdr:col>91</xdr:col>
          <xdr:colOff>76200</xdr:colOff>
          <xdr:row>10</xdr:row>
          <xdr:rowOff>28575</xdr:rowOff>
        </xdr:to>
        <xdr:sp macro="" textlink="">
          <xdr:nvSpPr>
            <xdr:cNvPr id="23572" name="Check Box 20" hidden="1">
              <a:extLst>
                <a:ext uri="{63B3BB69-23CF-44E3-9099-C40C66FF867C}">
                  <a14:compatExt spid="_x0000_s23572"/>
                </a:ext>
                <a:ext uri="{FF2B5EF4-FFF2-40B4-BE49-F238E27FC236}">
                  <a16:creationId xmlns:a16="http://schemas.microsoft.com/office/drawing/2014/main" id="{00000000-0008-0000-0800-000014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104775</xdr:colOff>
          <xdr:row>10</xdr:row>
          <xdr:rowOff>38100</xdr:rowOff>
        </xdr:from>
        <xdr:to>
          <xdr:col>90</xdr:col>
          <xdr:colOff>209550</xdr:colOff>
          <xdr:row>12</xdr:row>
          <xdr:rowOff>28575</xdr:rowOff>
        </xdr:to>
        <xdr:sp macro="" textlink="">
          <xdr:nvSpPr>
            <xdr:cNvPr id="23573" name="Check Box 21" hidden="1">
              <a:extLst>
                <a:ext uri="{63B3BB69-23CF-44E3-9099-C40C66FF867C}">
                  <a14:compatExt spid="_x0000_s23573"/>
                </a:ext>
                <a:ext uri="{FF2B5EF4-FFF2-40B4-BE49-F238E27FC236}">
                  <a16:creationId xmlns:a16="http://schemas.microsoft.com/office/drawing/2014/main" id="{00000000-0008-0000-0800-000015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104775</xdr:colOff>
          <xdr:row>10</xdr:row>
          <xdr:rowOff>38100</xdr:rowOff>
        </xdr:from>
        <xdr:to>
          <xdr:col>91</xdr:col>
          <xdr:colOff>47625</xdr:colOff>
          <xdr:row>12</xdr:row>
          <xdr:rowOff>28575</xdr:rowOff>
        </xdr:to>
        <xdr:sp macro="" textlink="">
          <xdr:nvSpPr>
            <xdr:cNvPr id="23574" name="Check Box 22" hidden="1">
              <a:extLst>
                <a:ext uri="{63B3BB69-23CF-44E3-9099-C40C66FF867C}">
                  <a14:compatExt spid="_x0000_s23574"/>
                </a:ext>
                <a:ext uri="{FF2B5EF4-FFF2-40B4-BE49-F238E27FC236}">
                  <a16:creationId xmlns:a16="http://schemas.microsoft.com/office/drawing/2014/main" id="{00000000-0008-0000-0800-000016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14</xdr:row>
          <xdr:rowOff>38100</xdr:rowOff>
        </xdr:from>
        <xdr:to>
          <xdr:col>90</xdr:col>
          <xdr:colOff>209550</xdr:colOff>
          <xdr:row>16</xdr:row>
          <xdr:rowOff>28575</xdr:rowOff>
        </xdr:to>
        <xdr:sp macro="" textlink="">
          <xdr:nvSpPr>
            <xdr:cNvPr id="23575" name="Check Box 23" hidden="1">
              <a:extLst>
                <a:ext uri="{63B3BB69-23CF-44E3-9099-C40C66FF867C}">
                  <a14:compatExt spid="_x0000_s23575"/>
                </a:ext>
                <a:ext uri="{FF2B5EF4-FFF2-40B4-BE49-F238E27FC236}">
                  <a16:creationId xmlns:a16="http://schemas.microsoft.com/office/drawing/2014/main" id="{00000000-0008-0000-0800-000017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104775</xdr:colOff>
          <xdr:row>12</xdr:row>
          <xdr:rowOff>38100</xdr:rowOff>
        </xdr:from>
        <xdr:to>
          <xdr:col>90</xdr:col>
          <xdr:colOff>209550</xdr:colOff>
          <xdr:row>14</xdr:row>
          <xdr:rowOff>28575</xdr:rowOff>
        </xdr:to>
        <xdr:sp macro="" textlink="">
          <xdr:nvSpPr>
            <xdr:cNvPr id="23576" name="Check Box 24" hidden="1">
              <a:extLst>
                <a:ext uri="{63B3BB69-23CF-44E3-9099-C40C66FF867C}">
                  <a14:compatExt spid="_x0000_s23576"/>
                </a:ext>
                <a:ext uri="{FF2B5EF4-FFF2-40B4-BE49-F238E27FC236}">
                  <a16:creationId xmlns:a16="http://schemas.microsoft.com/office/drawing/2014/main" id="{00000000-0008-0000-0800-000018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16</xdr:row>
          <xdr:rowOff>38100</xdr:rowOff>
        </xdr:from>
        <xdr:to>
          <xdr:col>90</xdr:col>
          <xdr:colOff>209550</xdr:colOff>
          <xdr:row>18</xdr:row>
          <xdr:rowOff>28575</xdr:rowOff>
        </xdr:to>
        <xdr:sp macro="" textlink="">
          <xdr:nvSpPr>
            <xdr:cNvPr id="23577" name="Check Box 25" hidden="1">
              <a:extLst>
                <a:ext uri="{63B3BB69-23CF-44E3-9099-C40C66FF867C}">
                  <a14:compatExt spid="_x0000_s23577"/>
                </a:ext>
                <a:ext uri="{FF2B5EF4-FFF2-40B4-BE49-F238E27FC236}">
                  <a16:creationId xmlns:a16="http://schemas.microsoft.com/office/drawing/2014/main" id="{00000000-0008-0000-0800-000019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14</xdr:row>
          <xdr:rowOff>38100</xdr:rowOff>
        </xdr:from>
        <xdr:to>
          <xdr:col>91</xdr:col>
          <xdr:colOff>47625</xdr:colOff>
          <xdr:row>16</xdr:row>
          <xdr:rowOff>28575</xdr:rowOff>
        </xdr:to>
        <xdr:sp macro="" textlink="">
          <xdr:nvSpPr>
            <xdr:cNvPr id="23578" name="Check Box 26" hidden="1">
              <a:extLst>
                <a:ext uri="{63B3BB69-23CF-44E3-9099-C40C66FF867C}">
                  <a14:compatExt spid="_x0000_s23578"/>
                </a:ext>
                <a:ext uri="{FF2B5EF4-FFF2-40B4-BE49-F238E27FC236}">
                  <a16:creationId xmlns:a16="http://schemas.microsoft.com/office/drawing/2014/main" id="{00000000-0008-0000-0800-00001A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104775</xdr:colOff>
          <xdr:row>12</xdr:row>
          <xdr:rowOff>38100</xdr:rowOff>
        </xdr:from>
        <xdr:to>
          <xdr:col>91</xdr:col>
          <xdr:colOff>47625</xdr:colOff>
          <xdr:row>14</xdr:row>
          <xdr:rowOff>28575</xdr:rowOff>
        </xdr:to>
        <xdr:sp macro="" textlink="">
          <xdr:nvSpPr>
            <xdr:cNvPr id="23579" name="Check Box 27" hidden="1">
              <a:extLst>
                <a:ext uri="{63B3BB69-23CF-44E3-9099-C40C66FF867C}">
                  <a14:compatExt spid="_x0000_s23579"/>
                </a:ext>
                <a:ext uri="{FF2B5EF4-FFF2-40B4-BE49-F238E27FC236}">
                  <a16:creationId xmlns:a16="http://schemas.microsoft.com/office/drawing/2014/main" id="{00000000-0008-0000-0800-00001B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16</xdr:row>
          <xdr:rowOff>38100</xdr:rowOff>
        </xdr:from>
        <xdr:to>
          <xdr:col>91</xdr:col>
          <xdr:colOff>47625</xdr:colOff>
          <xdr:row>18</xdr:row>
          <xdr:rowOff>28575</xdr:rowOff>
        </xdr:to>
        <xdr:sp macro="" textlink="">
          <xdr:nvSpPr>
            <xdr:cNvPr id="23580" name="Check Box 28" hidden="1">
              <a:extLst>
                <a:ext uri="{63B3BB69-23CF-44E3-9099-C40C66FF867C}">
                  <a14:compatExt spid="_x0000_s23580"/>
                </a:ext>
                <a:ext uri="{FF2B5EF4-FFF2-40B4-BE49-F238E27FC236}">
                  <a16:creationId xmlns:a16="http://schemas.microsoft.com/office/drawing/2014/main" id="{00000000-0008-0000-0800-00001C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26</xdr:row>
          <xdr:rowOff>9525</xdr:rowOff>
        </xdr:from>
        <xdr:to>
          <xdr:col>90</xdr:col>
          <xdr:colOff>209550</xdr:colOff>
          <xdr:row>28</xdr:row>
          <xdr:rowOff>9525</xdr:rowOff>
        </xdr:to>
        <xdr:sp macro="" textlink="">
          <xdr:nvSpPr>
            <xdr:cNvPr id="23581" name="Check Box 29" hidden="1">
              <a:extLst>
                <a:ext uri="{63B3BB69-23CF-44E3-9099-C40C66FF867C}">
                  <a14:compatExt spid="_x0000_s23581"/>
                </a:ext>
                <a:ext uri="{FF2B5EF4-FFF2-40B4-BE49-F238E27FC236}">
                  <a16:creationId xmlns:a16="http://schemas.microsoft.com/office/drawing/2014/main" id="{00000000-0008-0000-0800-00001D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26</xdr:row>
          <xdr:rowOff>9525</xdr:rowOff>
        </xdr:from>
        <xdr:to>
          <xdr:col>91</xdr:col>
          <xdr:colOff>47625</xdr:colOff>
          <xdr:row>28</xdr:row>
          <xdr:rowOff>9525</xdr:rowOff>
        </xdr:to>
        <xdr:sp macro="" textlink="">
          <xdr:nvSpPr>
            <xdr:cNvPr id="23582" name="Check Box 30" hidden="1">
              <a:extLst>
                <a:ext uri="{63B3BB69-23CF-44E3-9099-C40C66FF867C}">
                  <a14:compatExt spid="_x0000_s23582"/>
                </a:ext>
                <a:ext uri="{FF2B5EF4-FFF2-40B4-BE49-F238E27FC236}">
                  <a16:creationId xmlns:a16="http://schemas.microsoft.com/office/drawing/2014/main" id="{00000000-0008-0000-0800-00001E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38</xdr:row>
          <xdr:rowOff>9525</xdr:rowOff>
        </xdr:from>
        <xdr:to>
          <xdr:col>90</xdr:col>
          <xdr:colOff>209550</xdr:colOff>
          <xdr:row>40</xdr:row>
          <xdr:rowOff>9525</xdr:rowOff>
        </xdr:to>
        <xdr:sp macro="" textlink="">
          <xdr:nvSpPr>
            <xdr:cNvPr id="23591" name="Check Box 39" hidden="1">
              <a:extLst>
                <a:ext uri="{63B3BB69-23CF-44E3-9099-C40C66FF867C}">
                  <a14:compatExt spid="_x0000_s23591"/>
                </a:ext>
                <a:ext uri="{FF2B5EF4-FFF2-40B4-BE49-F238E27FC236}">
                  <a16:creationId xmlns:a16="http://schemas.microsoft.com/office/drawing/2014/main" id="{00000000-0008-0000-0800-000027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38</xdr:row>
          <xdr:rowOff>9525</xdr:rowOff>
        </xdr:from>
        <xdr:to>
          <xdr:col>91</xdr:col>
          <xdr:colOff>47625</xdr:colOff>
          <xdr:row>40</xdr:row>
          <xdr:rowOff>9525</xdr:rowOff>
        </xdr:to>
        <xdr:sp macro="" textlink="">
          <xdr:nvSpPr>
            <xdr:cNvPr id="23592" name="Check Box 40" hidden="1">
              <a:extLst>
                <a:ext uri="{63B3BB69-23CF-44E3-9099-C40C66FF867C}">
                  <a14:compatExt spid="_x0000_s23592"/>
                </a:ext>
                <a:ext uri="{FF2B5EF4-FFF2-40B4-BE49-F238E27FC236}">
                  <a16:creationId xmlns:a16="http://schemas.microsoft.com/office/drawing/2014/main" id="{00000000-0008-0000-0800-000028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43</xdr:row>
          <xdr:rowOff>9525</xdr:rowOff>
        </xdr:from>
        <xdr:to>
          <xdr:col>90</xdr:col>
          <xdr:colOff>209550</xdr:colOff>
          <xdr:row>45</xdr:row>
          <xdr:rowOff>9525</xdr:rowOff>
        </xdr:to>
        <xdr:sp macro="" textlink="">
          <xdr:nvSpPr>
            <xdr:cNvPr id="23593" name="Check Box 41" hidden="1">
              <a:extLst>
                <a:ext uri="{63B3BB69-23CF-44E3-9099-C40C66FF867C}">
                  <a14:compatExt spid="_x0000_s23593"/>
                </a:ext>
                <a:ext uri="{FF2B5EF4-FFF2-40B4-BE49-F238E27FC236}">
                  <a16:creationId xmlns:a16="http://schemas.microsoft.com/office/drawing/2014/main" id="{00000000-0008-0000-0800-000029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43</xdr:row>
          <xdr:rowOff>9525</xdr:rowOff>
        </xdr:from>
        <xdr:to>
          <xdr:col>91</xdr:col>
          <xdr:colOff>47625</xdr:colOff>
          <xdr:row>45</xdr:row>
          <xdr:rowOff>9525</xdr:rowOff>
        </xdr:to>
        <xdr:sp macro="" textlink="">
          <xdr:nvSpPr>
            <xdr:cNvPr id="23594" name="Check Box 42" hidden="1">
              <a:extLst>
                <a:ext uri="{63B3BB69-23CF-44E3-9099-C40C66FF867C}">
                  <a14:compatExt spid="_x0000_s23594"/>
                </a:ext>
                <a:ext uri="{FF2B5EF4-FFF2-40B4-BE49-F238E27FC236}">
                  <a16:creationId xmlns:a16="http://schemas.microsoft.com/office/drawing/2014/main" id="{00000000-0008-0000-0800-00002A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45</xdr:row>
          <xdr:rowOff>114300</xdr:rowOff>
        </xdr:from>
        <xdr:to>
          <xdr:col>90</xdr:col>
          <xdr:colOff>209550</xdr:colOff>
          <xdr:row>47</xdr:row>
          <xdr:rowOff>9525</xdr:rowOff>
        </xdr:to>
        <xdr:sp macro="" textlink="">
          <xdr:nvSpPr>
            <xdr:cNvPr id="23595" name="Check Box 43" hidden="1">
              <a:extLst>
                <a:ext uri="{63B3BB69-23CF-44E3-9099-C40C66FF867C}">
                  <a14:compatExt spid="_x0000_s23595"/>
                </a:ext>
                <a:ext uri="{FF2B5EF4-FFF2-40B4-BE49-F238E27FC236}">
                  <a16:creationId xmlns:a16="http://schemas.microsoft.com/office/drawing/2014/main" id="{00000000-0008-0000-0800-00002B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45</xdr:row>
          <xdr:rowOff>123825</xdr:rowOff>
        </xdr:from>
        <xdr:to>
          <xdr:col>91</xdr:col>
          <xdr:colOff>47625</xdr:colOff>
          <xdr:row>47</xdr:row>
          <xdr:rowOff>9525</xdr:rowOff>
        </xdr:to>
        <xdr:sp macro="" textlink="">
          <xdr:nvSpPr>
            <xdr:cNvPr id="23596" name="Check Box 44" hidden="1">
              <a:extLst>
                <a:ext uri="{63B3BB69-23CF-44E3-9099-C40C66FF867C}">
                  <a14:compatExt spid="_x0000_s23596"/>
                </a:ext>
                <a:ext uri="{FF2B5EF4-FFF2-40B4-BE49-F238E27FC236}">
                  <a16:creationId xmlns:a16="http://schemas.microsoft.com/office/drawing/2014/main" id="{00000000-0008-0000-0800-00002C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49</xdr:row>
          <xdr:rowOff>47625</xdr:rowOff>
        </xdr:from>
        <xdr:to>
          <xdr:col>90</xdr:col>
          <xdr:colOff>209550</xdr:colOff>
          <xdr:row>51</xdr:row>
          <xdr:rowOff>9525</xdr:rowOff>
        </xdr:to>
        <xdr:sp macro="" textlink="">
          <xdr:nvSpPr>
            <xdr:cNvPr id="23599" name="Check Box 47" hidden="1">
              <a:extLst>
                <a:ext uri="{63B3BB69-23CF-44E3-9099-C40C66FF867C}">
                  <a14:compatExt spid="_x0000_s23599"/>
                </a:ext>
                <a:ext uri="{FF2B5EF4-FFF2-40B4-BE49-F238E27FC236}">
                  <a16:creationId xmlns:a16="http://schemas.microsoft.com/office/drawing/2014/main" id="{00000000-0008-0000-0800-00002F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49</xdr:row>
          <xdr:rowOff>47625</xdr:rowOff>
        </xdr:from>
        <xdr:to>
          <xdr:col>91</xdr:col>
          <xdr:colOff>47625</xdr:colOff>
          <xdr:row>51</xdr:row>
          <xdr:rowOff>9525</xdr:rowOff>
        </xdr:to>
        <xdr:sp macro="" textlink="">
          <xdr:nvSpPr>
            <xdr:cNvPr id="23600" name="Check Box 48" hidden="1">
              <a:extLst>
                <a:ext uri="{63B3BB69-23CF-44E3-9099-C40C66FF867C}">
                  <a14:compatExt spid="_x0000_s23600"/>
                </a:ext>
                <a:ext uri="{FF2B5EF4-FFF2-40B4-BE49-F238E27FC236}">
                  <a16:creationId xmlns:a16="http://schemas.microsoft.com/office/drawing/2014/main" id="{00000000-0008-0000-0800-000030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51</xdr:row>
          <xdr:rowOff>28575</xdr:rowOff>
        </xdr:from>
        <xdr:to>
          <xdr:col>90</xdr:col>
          <xdr:colOff>209550</xdr:colOff>
          <xdr:row>53</xdr:row>
          <xdr:rowOff>9525</xdr:rowOff>
        </xdr:to>
        <xdr:sp macro="" textlink="">
          <xdr:nvSpPr>
            <xdr:cNvPr id="23601" name="Check Box 49" hidden="1">
              <a:extLst>
                <a:ext uri="{63B3BB69-23CF-44E3-9099-C40C66FF867C}">
                  <a14:compatExt spid="_x0000_s23601"/>
                </a:ext>
                <a:ext uri="{FF2B5EF4-FFF2-40B4-BE49-F238E27FC236}">
                  <a16:creationId xmlns:a16="http://schemas.microsoft.com/office/drawing/2014/main" id="{00000000-0008-0000-0800-000031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51</xdr:row>
          <xdr:rowOff>28575</xdr:rowOff>
        </xdr:from>
        <xdr:to>
          <xdr:col>91</xdr:col>
          <xdr:colOff>47625</xdr:colOff>
          <xdr:row>53</xdr:row>
          <xdr:rowOff>9525</xdr:rowOff>
        </xdr:to>
        <xdr:sp macro="" textlink="">
          <xdr:nvSpPr>
            <xdr:cNvPr id="23602" name="Check Box 50" hidden="1">
              <a:extLst>
                <a:ext uri="{63B3BB69-23CF-44E3-9099-C40C66FF867C}">
                  <a14:compatExt spid="_x0000_s23602"/>
                </a:ext>
                <a:ext uri="{FF2B5EF4-FFF2-40B4-BE49-F238E27FC236}">
                  <a16:creationId xmlns:a16="http://schemas.microsoft.com/office/drawing/2014/main" id="{00000000-0008-0000-0800-000032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59</xdr:row>
          <xdr:rowOff>28575</xdr:rowOff>
        </xdr:from>
        <xdr:to>
          <xdr:col>90</xdr:col>
          <xdr:colOff>209550</xdr:colOff>
          <xdr:row>61</xdr:row>
          <xdr:rowOff>9525</xdr:rowOff>
        </xdr:to>
        <xdr:sp macro="" textlink="">
          <xdr:nvSpPr>
            <xdr:cNvPr id="23603" name="Check Box 51" hidden="1">
              <a:extLst>
                <a:ext uri="{63B3BB69-23CF-44E3-9099-C40C66FF867C}">
                  <a14:compatExt spid="_x0000_s23603"/>
                </a:ext>
                <a:ext uri="{FF2B5EF4-FFF2-40B4-BE49-F238E27FC236}">
                  <a16:creationId xmlns:a16="http://schemas.microsoft.com/office/drawing/2014/main" id="{00000000-0008-0000-0800-000033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59</xdr:row>
          <xdr:rowOff>28575</xdr:rowOff>
        </xdr:from>
        <xdr:to>
          <xdr:col>91</xdr:col>
          <xdr:colOff>47625</xdr:colOff>
          <xdr:row>61</xdr:row>
          <xdr:rowOff>9525</xdr:rowOff>
        </xdr:to>
        <xdr:sp macro="" textlink="">
          <xdr:nvSpPr>
            <xdr:cNvPr id="23604" name="Check Box 52" hidden="1">
              <a:extLst>
                <a:ext uri="{63B3BB69-23CF-44E3-9099-C40C66FF867C}">
                  <a14:compatExt spid="_x0000_s23604"/>
                </a:ext>
                <a:ext uri="{FF2B5EF4-FFF2-40B4-BE49-F238E27FC236}">
                  <a16:creationId xmlns:a16="http://schemas.microsoft.com/office/drawing/2014/main" id="{00000000-0008-0000-0800-000034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61</xdr:row>
          <xdr:rowOff>28575</xdr:rowOff>
        </xdr:from>
        <xdr:to>
          <xdr:col>90</xdr:col>
          <xdr:colOff>209550</xdr:colOff>
          <xdr:row>63</xdr:row>
          <xdr:rowOff>9525</xdr:rowOff>
        </xdr:to>
        <xdr:sp macro="" textlink="">
          <xdr:nvSpPr>
            <xdr:cNvPr id="23605" name="Check Box 53" hidden="1">
              <a:extLst>
                <a:ext uri="{63B3BB69-23CF-44E3-9099-C40C66FF867C}">
                  <a14:compatExt spid="_x0000_s23605"/>
                </a:ext>
                <a:ext uri="{FF2B5EF4-FFF2-40B4-BE49-F238E27FC236}">
                  <a16:creationId xmlns:a16="http://schemas.microsoft.com/office/drawing/2014/main" id="{00000000-0008-0000-0800-000035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61</xdr:row>
          <xdr:rowOff>28575</xdr:rowOff>
        </xdr:from>
        <xdr:to>
          <xdr:col>91</xdr:col>
          <xdr:colOff>47625</xdr:colOff>
          <xdr:row>63</xdr:row>
          <xdr:rowOff>9525</xdr:rowOff>
        </xdr:to>
        <xdr:sp macro="" textlink="">
          <xdr:nvSpPr>
            <xdr:cNvPr id="23606" name="Check Box 54" hidden="1">
              <a:extLst>
                <a:ext uri="{63B3BB69-23CF-44E3-9099-C40C66FF867C}">
                  <a14:compatExt spid="_x0000_s23606"/>
                </a:ext>
                <a:ext uri="{FF2B5EF4-FFF2-40B4-BE49-F238E27FC236}">
                  <a16:creationId xmlns:a16="http://schemas.microsoft.com/office/drawing/2014/main" id="{00000000-0008-0000-0800-000036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69</xdr:row>
          <xdr:rowOff>28575</xdr:rowOff>
        </xdr:from>
        <xdr:to>
          <xdr:col>90</xdr:col>
          <xdr:colOff>209550</xdr:colOff>
          <xdr:row>71</xdr:row>
          <xdr:rowOff>9525</xdr:rowOff>
        </xdr:to>
        <xdr:sp macro="" textlink="">
          <xdr:nvSpPr>
            <xdr:cNvPr id="23607" name="Check Box 55" hidden="1">
              <a:extLst>
                <a:ext uri="{63B3BB69-23CF-44E3-9099-C40C66FF867C}">
                  <a14:compatExt spid="_x0000_s23607"/>
                </a:ext>
                <a:ext uri="{FF2B5EF4-FFF2-40B4-BE49-F238E27FC236}">
                  <a16:creationId xmlns:a16="http://schemas.microsoft.com/office/drawing/2014/main" id="{00000000-0008-0000-0800-000037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69</xdr:row>
          <xdr:rowOff>28575</xdr:rowOff>
        </xdr:from>
        <xdr:to>
          <xdr:col>91</xdr:col>
          <xdr:colOff>47625</xdr:colOff>
          <xdr:row>71</xdr:row>
          <xdr:rowOff>9525</xdr:rowOff>
        </xdr:to>
        <xdr:sp macro="" textlink="">
          <xdr:nvSpPr>
            <xdr:cNvPr id="23608" name="Check Box 56" hidden="1">
              <a:extLst>
                <a:ext uri="{63B3BB69-23CF-44E3-9099-C40C66FF867C}">
                  <a14:compatExt spid="_x0000_s23608"/>
                </a:ext>
                <a:ext uri="{FF2B5EF4-FFF2-40B4-BE49-F238E27FC236}">
                  <a16:creationId xmlns:a16="http://schemas.microsoft.com/office/drawing/2014/main" id="{00000000-0008-0000-0800-000038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74</xdr:row>
          <xdr:rowOff>28575</xdr:rowOff>
        </xdr:from>
        <xdr:to>
          <xdr:col>90</xdr:col>
          <xdr:colOff>209550</xdr:colOff>
          <xdr:row>76</xdr:row>
          <xdr:rowOff>9525</xdr:rowOff>
        </xdr:to>
        <xdr:sp macro="" textlink="">
          <xdr:nvSpPr>
            <xdr:cNvPr id="23609" name="Check Box 57" hidden="1">
              <a:extLst>
                <a:ext uri="{63B3BB69-23CF-44E3-9099-C40C66FF867C}">
                  <a14:compatExt spid="_x0000_s23609"/>
                </a:ext>
                <a:ext uri="{FF2B5EF4-FFF2-40B4-BE49-F238E27FC236}">
                  <a16:creationId xmlns:a16="http://schemas.microsoft.com/office/drawing/2014/main" id="{00000000-0008-0000-0800-000039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74</xdr:row>
          <xdr:rowOff>28575</xdr:rowOff>
        </xdr:from>
        <xdr:to>
          <xdr:col>91</xdr:col>
          <xdr:colOff>47625</xdr:colOff>
          <xdr:row>76</xdr:row>
          <xdr:rowOff>9525</xdr:rowOff>
        </xdr:to>
        <xdr:sp macro="" textlink="">
          <xdr:nvSpPr>
            <xdr:cNvPr id="23610" name="Check Box 58" hidden="1">
              <a:extLst>
                <a:ext uri="{63B3BB69-23CF-44E3-9099-C40C66FF867C}">
                  <a14:compatExt spid="_x0000_s23610"/>
                </a:ext>
                <a:ext uri="{FF2B5EF4-FFF2-40B4-BE49-F238E27FC236}">
                  <a16:creationId xmlns:a16="http://schemas.microsoft.com/office/drawing/2014/main" id="{00000000-0008-0000-0800-00003A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86</xdr:row>
          <xdr:rowOff>47625</xdr:rowOff>
        </xdr:from>
        <xdr:to>
          <xdr:col>90</xdr:col>
          <xdr:colOff>209550</xdr:colOff>
          <xdr:row>88</xdr:row>
          <xdr:rowOff>28575</xdr:rowOff>
        </xdr:to>
        <xdr:sp macro="" textlink="">
          <xdr:nvSpPr>
            <xdr:cNvPr id="23611" name="Check Box 59" hidden="1">
              <a:extLst>
                <a:ext uri="{63B3BB69-23CF-44E3-9099-C40C66FF867C}">
                  <a14:compatExt spid="_x0000_s23611"/>
                </a:ext>
                <a:ext uri="{FF2B5EF4-FFF2-40B4-BE49-F238E27FC236}">
                  <a16:creationId xmlns:a16="http://schemas.microsoft.com/office/drawing/2014/main" id="{00000000-0008-0000-0800-00003B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86</xdr:row>
          <xdr:rowOff>47625</xdr:rowOff>
        </xdr:from>
        <xdr:to>
          <xdr:col>91</xdr:col>
          <xdr:colOff>47625</xdr:colOff>
          <xdr:row>88</xdr:row>
          <xdr:rowOff>28575</xdr:rowOff>
        </xdr:to>
        <xdr:sp macro="" textlink="">
          <xdr:nvSpPr>
            <xdr:cNvPr id="23612" name="Check Box 60" hidden="1">
              <a:extLst>
                <a:ext uri="{63B3BB69-23CF-44E3-9099-C40C66FF867C}">
                  <a14:compatExt spid="_x0000_s23612"/>
                </a:ext>
                <a:ext uri="{FF2B5EF4-FFF2-40B4-BE49-F238E27FC236}">
                  <a16:creationId xmlns:a16="http://schemas.microsoft.com/office/drawing/2014/main" id="{00000000-0008-0000-0800-00003C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86</xdr:row>
          <xdr:rowOff>47625</xdr:rowOff>
        </xdr:from>
        <xdr:to>
          <xdr:col>97</xdr:col>
          <xdr:colOff>228600</xdr:colOff>
          <xdr:row>88</xdr:row>
          <xdr:rowOff>28575</xdr:rowOff>
        </xdr:to>
        <xdr:sp macro="" textlink="">
          <xdr:nvSpPr>
            <xdr:cNvPr id="23615" name="Check Box 63" hidden="1">
              <a:extLst>
                <a:ext uri="{63B3BB69-23CF-44E3-9099-C40C66FF867C}">
                  <a14:compatExt spid="_x0000_s23615"/>
                </a:ext>
                <a:ext uri="{FF2B5EF4-FFF2-40B4-BE49-F238E27FC236}">
                  <a16:creationId xmlns:a16="http://schemas.microsoft.com/office/drawing/2014/main" id="{00000000-0008-0000-0800-00003F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   Total entre 12 et 15 points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88</xdr:row>
          <xdr:rowOff>47625</xdr:rowOff>
        </xdr:from>
        <xdr:to>
          <xdr:col>90</xdr:col>
          <xdr:colOff>209550</xdr:colOff>
          <xdr:row>90</xdr:row>
          <xdr:rowOff>9525</xdr:rowOff>
        </xdr:to>
        <xdr:sp macro="" textlink="">
          <xdr:nvSpPr>
            <xdr:cNvPr id="23616" name="Check Box 64" hidden="1">
              <a:extLst>
                <a:ext uri="{63B3BB69-23CF-44E3-9099-C40C66FF867C}">
                  <a14:compatExt spid="_x0000_s23616"/>
                </a:ext>
                <a:ext uri="{FF2B5EF4-FFF2-40B4-BE49-F238E27FC236}">
                  <a16:creationId xmlns:a16="http://schemas.microsoft.com/office/drawing/2014/main" id="{00000000-0008-0000-0800-000040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88</xdr:row>
          <xdr:rowOff>47625</xdr:rowOff>
        </xdr:from>
        <xdr:to>
          <xdr:col>91</xdr:col>
          <xdr:colOff>47625</xdr:colOff>
          <xdr:row>90</xdr:row>
          <xdr:rowOff>9525</xdr:rowOff>
        </xdr:to>
        <xdr:sp macro="" textlink="">
          <xdr:nvSpPr>
            <xdr:cNvPr id="23617" name="Check Box 65" hidden="1">
              <a:extLst>
                <a:ext uri="{63B3BB69-23CF-44E3-9099-C40C66FF867C}">
                  <a14:compatExt spid="_x0000_s23617"/>
                </a:ext>
                <a:ext uri="{FF2B5EF4-FFF2-40B4-BE49-F238E27FC236}">
                  <a16:creationId xmlns:a16="http://schemas.microsoft.com/office/drawing/2014/main" id="{00000000-0008-0000-0800-000041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88</xdr:row>
          <xdr:rowOff>47625</xdr:rowOff>
        </xdr:from>
        <xdr:to>
          <xdr:col>99</xdr:col>
          <xdr:colOff>38100</xdr:colOff>
          <xdr:row>90</xdr:row>
          <xdr:rowOff>9525</xdr:rowOff>
        </xdr:to>
        <xdr:sp macro="" textlink="">
          <xdr:nvSpPr>
            <xdr:cNvPr id="23619" name="Check Box 67" hidden="1">
              <a:extLst>
                <a:ext uri="{63B3BB69-23CF-44E3-9099-C40C66FF867C}">
                  <a14:compatExt spid="_x0000_s23619"/>
                </a:ext>
                <a:ext uri="{FF2B5EF4-FFF2-40B4-BE49-F238E27FC236}">
                  <a16:creationId xmlns:a16="http://schemas.microsoft.com/office/drawing/2014/main" id="{00000000-0008-0000-0800-000043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   Total de 16 points ou plus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92</xdr:row>
          <xdr:rowOff>28575</xdr:rowOff>
        </xdr:from>
        <xdr:to>
          <xdr:col>90</xdr:col>
          <xdr:colOff>209550</xdr:colOff>
          <xdr:row>94</xdr:row>
          <xdr:rowOff>9525</xdr:rowOff>
        </xdr:to>
        <xdr:sp macro="" textlink="">
          <xdr:nvSpPr>
            <xdr:cNvPr id="23620" name="Check Box 68" hidden="1">
              <a:extLst>
                <a:ext uri="{63B3BB69-23CF-44E3-9099-C40C66FF867C}">
                  <a14:compatExt spid="_x0000_s23620"/>
                </a:ext>
                <a:ext uri="{FF2B5EF4-FFF2-40B4-BE49-F238E27FC236}">
                  <a16:creationId xmlns:a16="http://schemas.microsoft.com/office/drawing/2014/main" id="{00000000-0008-0000-0800-000044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92</xdr:row>
          <xdr:rowOff>28575</xdr:rowOff>
        </xdr:from>
        <xdr:to>
          <xdr:col>91</xdr:col>
          <xdr:colOff>47625</xdr:colOff>
          <xdr:row>94</xdr:row>
          <xdr:rowOff>9525</xdr:rowOff>
        </xdr:to>
        <xdr:sp macro="" textlink="">
          <xdr:nvSpPr>
            <xdr:cNvPr id="23621" name="Check Box 69" hidden="1">
              <a:extLst>
                <a:ext uri="{63B3BB69-23CF-44E3-9099-C40C66FF867C}">
                  <a14:compatExt spid="_x0000_s23621"/>
                </a:ext>
                <a:ext uri="{FF2B5EF4-FFF2-40B4-BE49-F238E27FC236}">
                  <a16:creationId xmlns:a16="http://schemas.microsoft.com/office/drawing/2014/main" id="{00000000-0008-0000-0800-000045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92</xdr:row>
          <xdr:rowOff>28575</xdr:rowOff>
        </xdr:from>
        <xdr:to>
          <xdr:col>90</xdr:col>
          <xdr:colOff>209550</xdr:colOff>
          <xdr:row>94</xdr:row>
          <xdr:rowOff>9525</xdr:rowOff>
        </xdr:to>
        <xdr:sp macro="" textlink="">
          <xdr:nvSpPr>
            <xdr:cNvPr id="23623" name="Check Box 71" hidden="1">
              <a:extLst>
                <a:ext uri="{63B3BB69-23CF-44E3-9099-C40C66FF867C}">
                  <a14:compatExt spid="_x0000_s23623"/>
                </a:ext>
                <a:ext uri="{FF2B5EF4-FFF2-40B4-BE49-F238E27FC236}">
                  <a16:creationId xmlns:a16="http://schemas.microsoft.com/office/drawing/2014/main" id="{00000000-0008-0000-0800-000047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94</xdr:row>
          <xdr:rowOff>28575</xdr:rowOff>
        </xdr:from>
        <xdr:to>
          <xdr:col>90</xdr:col>
          <xdr:colOff>209550</xdr:colOff>
          <xdr:row>96</xdr:row>
          <xdr:rowOff>9525</xdr:rowOff>
        </xdr:to>
        <xdr:sp macro="" textlink="">
          <xdr:nvSpPr>
            <xdr:cNvPr id="23624" name="Check Box 72" hidden="1">
              <a:extLst>
                <a:ext uri="{63B3BB69-23CF-44E3-9099-C40C66FF867C}">
                  <a14:compatExt spid="_x0000_s23624"/>
                </a:ext>
                <a:ext uri="{FF2B5EF4-FFF2-40B4-BE49-F238E27FC236}">
                  <a16:creationId xmlns:a16="http://schemas.microsoft.com/office/drawing/2014/main" id="{00000000-0008-0000-0800-000048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94</xdr:row>
          <xdr:rowOff>28575</xdr:rowOff>
        </xdr:from>
        <xdr:to>
          <xdr:col>91</xdr:col>
          <xdr:colOff>47625</xdr:colOff>
          <xdr:row>96</xdr:row>
          <xdr:rowOff>9525</xdr:rowOff>
        </xdr:to>
        <xdr:sp macro="" textlink="">
          <xdr:nvSpPr>
            <xdr:cNvPr id="23625" name="Check Box 73" hidden="1">
              <a:extLst>
                <a:ext uri="{63B3BB69-23CF-44E3-9099-C40C66FF867C}">
                  <a14:compatExt spid="_x0000_s23625"/>
                </a:ext>
                <a:ext uri="{FF2B5EF4-FFF2-40B4-BE49-F238E27FC236}">
                  <a16:creationId xmlns:a16="http://schemas.microsoft.com/office/drawing/2014/main" id="{00000000-0008-0000-0800-000049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96</xdr:row>
          <xdr:rowOff>28575</xdr:rowOff>
        </xdr:from>
        <xdr:to>
          <xdr:col>90</xdr:col>
          <xdr:colOff>209550</xdr:colOff>
          <xdr:row>98</xdr:row>
          <xdr:rowOff>9525</xdr:rowOff>
        </xdr:to>
        <xdr:sp macro="" textlink="">
          <xdr:nvSpPr>
            <xdr:cNvPr id="23626" name="Check Box 74" hidden="1">
              <a:extLst>
                <a:ext uri="{63B3BB69-23CF-44E3-9099-C40C66FF867C}">
                  <a14:compatExt spid="_x0000_s23626"/>
                </a:ext>
                <a:ext uri="{FF2B5EF4-FFF2-40B4-BE49-F238E27FC236}">
                  <a16:creationId xmlns:a16="http://schemas.microsoft.com/office/drawing/2014/main" id="{00000000-0008-0000-0800-00004A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96</xdr:row>
          <xdr:rowOff>28575</xdr:rowOff>
        </xdr:from>
        <xdr:to>
          <xdr:col>91</xdr:col>
          <xdr:colOff>47625</xdr:colOff>
          <xdr:row>98</xdr:row>
          <xdr:rowOff>9525</xdr:rowOff>
        </xdr:to>
        <xdr:sp macro="" textlink="">
          <xdr:nvSpPr>
            <xdr:cNvPr id="23627" name="Check Box 75" hidden="1">
              <a:extLst>
                <a:ext uri="{63B3BB69-23CF-44E3-9099-C40C66FF867C}">
                  <a14:compatExt spid="_x0000_s23627"/>
                </a:ext>
                <a:ext uri="{FF2B5EF4-FFF2-40B4-BE49-F238E27FC236}">
                  <a16:creationId xmlns:a16="http://schemas.microsoft.com/office/drawing/2014/main" id="{00000000-0008-0000-0800-00004B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98</xdr:row>
          <xdr:rowOff>28575</xdr:rowOff>
        </xdr:from>
        <xdr:to>
          <xdr:col>90</xdr:col>
          <xdr:colOff>209550</xdr:colOff>
          <xdr:row>100</xdr:row>
          <xdr:rowOff>9525</xdr:rowOff>
        </xdr:to>
        <xdr:sp macro="" textlink="">
          <xdr:nvSpPr>
            <xdr:cNvPr id="23628" name="Check Box 76" hidden="1">
              <a:extLst>
                <a:ext uri="{63B3BB69-23CF-44E3-9099-C40C66FF867C}">
                  <a14:compatExt spid="_x0000_s23628"/>
                </a:ext>
                <a:ext uri="{FF2B5EF4-FFF2-40B4-BE49-F238E27FC236}">
                  <a16:creationId xmlns:a16="http://schemas.microsoft.com/office/drawing/2014/main" id="{00000000-0008-0000-0800-00004C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98</xdr:row>
          <xdr:rowOff>28575</xdr:rowOff>
        </xdr:from>
        <xdr:to>
          <xdr:col>91</xdr:col>
          <xdr:colOff>47625</xdr:colOff>
          <xdr:row>100</xdr:row>
          <xdr:rowOff>9525</xdr:rowOff>
        </xdr:to>
        <xdr:sp macro="" textlink="">
          <xdr:nvSpPr>
            <xdr:cNvPr id="23629" name="Check Box 77" hidden="1">
              <a:extLst>
                <a:ext uri="{63B3BB69-23CF-44E3-9099-C40C66FF867C}">
                  <a14:compatExt spid="_x0000_s23629"/>
                </a:ext>
                <a:ext uri="{FF2B5EF4-FFF2-40B4-BE49-F238E27FC236}">
                  <a16:creationId xmlns:a16="http://schemas.microsoft.com/office/drawing/2014/main" id="{00000000-0008-0000-0800-00004D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100</xdr:row>
          <xdr:rowOff>28575</xdr:rowOff>
        </xdr:from>
        <xdr:to>
          <xdr:col>90</xdr:col>
          <xdr:colOff>209550</xdr:colOff>
          <xdr:row>102</xdr:row>
          <xdr:rowOff>9525</xdr:rowOff>
        </xdr:to>
        <xdr:sp macro="" textlink="">
          <xdr:nvSpPr>
            <xdr:cNvPr id="23630" name="Check Box 78" hidden="1">
              <a:extLst>
                <a:ext uri="{63B3BB69-23CF-44E3-9099-C40C66FF867C}">
                  <a14:compatExt spid="_x0000_s23630"/>
                </a:ext>
                <a:ext uri="{FF2B5EF4-FFF2-40B4-BE49-F238E27FC236}">
                  <a16:creationId xmlns:a16="http://schemas.microsoft.com/office/drawing/2014/main" id="{00000000-0008-0000-0800-00004E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100</xdr:row>
          <xdr:rowOff>28575</xdr:rowOff>
        </xdr:from>
        <xdr:to>
          <xdr:col>91</xdr:col>
          <xdr:colOff>47625</xdr:colOff>
          <xdr:row>102</xdr:row>
          <xdr:rowOff>9525</xdr:rowOff>
        </xdr:to>
        <xdr:sp macro="" textlink="">
          <xdr:nvSpPr>
            <xdr:cNvPr id="23631" name="Check Box 79" hidden="1">
              <a:extLst>
                <a:ext uri="{63B3BB69-23CF-44E3-9099-C40C66FF867C}">
                  <a14:compatExt spid="_x0000_s23631"/>
                </a:ext>
                <a:ext uri="{FF2B5EF4-FFF2-40B4-BE49-F238E27FC236}">
                  <a16:creationId xmlns:a16="http://schemas.microsoft.com/office/drawing/2014/main" id="{00000000-0008-0000-0800-00004F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0</xdr:colOff>
          <xdr:row>102</xdr:row>
          <xdr:rowOff>28575</xdr:rowOff>
        </xdr:from>
        <xdr:to>
          <xdr:col>90</xdr:col>
          <xdr:colOff>209550</xdr:colOff>
          <xdr:row>104</xdr:row>
          <xdr:rowOff>28575</xdr:rowOff>
        </xdr:to>
        <xdr:sp macro="" textlink="">
          <xdr:nvSpPr>
            <xdr:cNvPr id="23632" name="Check Box 80" hidden="1">
              <a:extLst>
                <a:ext uri="{63B3BB69-23CF-44E3-9099-C40C66FF867C}">
                  <a14:compatExt spid="_x0000_s23632"/>
                </a:ext>
                <a:ext uri="{FF2B5EF4-FFF2-40B4-BE49-F238E27FC236}">
                  <a16:creationId xmlns:a16="http://schemas.microsoft.com/office/drawing/2014/main" id="{00000000-0008-0000-0800-000050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0</xdr:colOff>
          <xdr:row>102</xdr:row>
          <xdr:rowOff>28575</xdr:rowOff>
        </xdr:from>
        <xdr:to>
          <xdr:col>91</xdr:col>
          <xdr:colOff>47625</xdr:colOff>
          <xdr:row>104</xdr:row>
          <xdr:rowOff>28575</xdr:rowOff>
        </xdr:to>
        <xdr:sp macro="" textlink="">
          <xdr:nvSpPr>
            <xdr:cNvPr id="23633" name="Check Box 81" hidden="1">
              <a:extLst>
                <a:ext uri="{63B3BB69-23CF-44E3-9099-C40C66FF867C}">
                  <a14:compatExt spid="_x0000_s23633"/>
                </a:ext>
                <a:ext uri="{FF2B5EF4-FFF2-40B4-BE49-F238E27FC236}">
                  <a16:creationId xmlns:a16="http://schemas.microsoft.com/office/drawing/2014/main" id="{00000000-0008-0000-0800-000051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Tahoma"/>
                  <a:ea typeface="Tahoma"/>
                  <a:cs typeface="Tahoma"/>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94</xdr:row>
          <xdr:rowOff>28575</xdr:rowOff>
        </xdr:from>
        <xdr:to>
          <xdr:col>90</xdr:col>
          <xdr:colOff>209550</xdr:colOff>
          <xdr:row>96</xdr:row>
          <xdr:rowOff>9525</xdr:rowOff>
        </xdr:to>
        <xdr:sp macro="" textlink="">
          <xdr:nvSpPr>
            <xdr:cNvPr id="23634" name="Check Box 82" hidden="1">
              <a:extLst>
                <a:ext uri="{63B3BB69-23CF-44E3-9099-C40C66FF867C}">
                  <a14:compatExt spid="_x0000_s23634"/>
                </a:ext>
                <a:ext uri="{FF2B5EF4-FFF2-40B4-BE49-F238E27FC236}">
                  <a16:creationId xmlns:a16="http://schemas.microsoft.com/office/drawing/2014/main" id="{00000000-0008-0000-0800-000052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96</xdr:row>
          <xdr:rowOff>28575</xdr:rowOff>
        </xdr:from>
        <xdr:to>
          <xdr:col>90</xdr:col>
          <xdr:colOff>209550</xdr:colOff>
          <xdr:row>98</xdr:row>
          <xdr:rowOff>9525</xdr:rowOff>
        </xdr:to>
        <xdr:sp macro="" textlink="">
          <xdr:nvSpPr>
            <xdr:cNvPr id="23639" name="Check Box 87" hidden="1">
              <a:extLst>
                <a:ext uri="{63B3BB69-23CF-44E3-9099-C40C66FF867C}">
                  <a14:compatExt spid="_x0000_s23639"/>
                </a:ext>
                <a:ext uri="{FF2B5EF4-FFF2-40B4-BE49-F238E27FC236}">
                  <a16:creationId xmlns:a16="http://schemas.microsoft.com/office/drawing/2014/main" id="{00000000-0008-0000-0800-000057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98</xdr:row>
          <xdr:rowOff>28575</xdr:rowOff>
        </xdr:from>
        <xdr:to>
          <xdr:col>90</xdr:col>
          <xdr:colOff>209550</xdr:colOff>
          <xdr:row>100</xdr:row>
          <xdr:rowOff>9525</xdr:rowOff>
        </xdr:to>
        <xdr:sp macro="" textlink="">
          <xdr:nvSpPr>
            <xdr:cNvPr id="23640" name="Check Box 88" hidden="1">
              <a:extLst>
                <a:ext uri="{63B3BB69-23CF-44E3-9099-C40C66FF867C}">
                  <a14:compatExt spid="_x0000_s23640"/>
                </a:ext>
                <a:ext uri="{FF2B5EF4-FFF2-40B4-BE49-F238E27FC236}">
                  <a16:creationId xmlns:a16="http://schemas.microsoft.com/office/drawing/2014/main" id="{00000000-0008-0000-0800-000058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100</xdr:row>
          <xdr:rowOff>28575</xdr:rowOff>
        </xdr:from>
        <xdr:to>
          <xdr:col>90</xdr:col>
          <xdr:colOff>209550</xdr:colOff>
          <xdr:row>102</xdr:row>
          <xdr:rowOff>9525</xdr:rowOff>
        </xdr:to>
        <xdr:sp macro="" textlink="">
          <xdr:nvSpPr>
            <xdr:cNvPr id="23642" name="Check Box 90" hidden="1">
              <a:extLst>
                <a:ext uri="{63B3BB69-23CF-44E3-9099-C40C66FF867C}">
                  <a14:compatExt spid="_x0000_s23642"/>
                </a:ext>
                <a:ext uri="{FF2B5EF4-FFF2-40B4-BE49-F238E27FC236}">
                  <a16:creationId xmlns:a16="http://schemas.microsoft.com/office/drawing/2014/main" id="{00000000-0008-0000-0800-00005A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102</xdr:row>
          <xdr:rowOff>28575</xdr:rowOff>
        </xdr:from>
        <xdr:to>
          <xdr:col>90</xdr:col>
          <xdr:colOff>209550</xdr:colOff>
          <xdr:row>104</xdr:row>
          <xdr:rowOff>28575</xdr:rowOff>
        </xdr:to>
        <xdr:sp macro="" textlink="">
          <xdr:nvSpPr>
            <xdr:cNvPr id="23643" name="Check Box 91" hidden="1">
              <a:extLst>
                <a:ext uri="{63B3BB69-23CF-44E3-9099-C40C66FF867C}">
                  <a14:compatExt spid="_x0000_s23643"/>
                </a:ext>
                <a:ext uri="{FF2B5EF4-FFF2-40B4-BE49-F238E27FC236}">
                  <a16:creationId xmlns:a16="http://schemas.microsoft.com/office/drawing/2014/main" id="{00000000-0008-0000-0800-00005B5C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nc.fr/professionnels/aides-et-financements/jeu-video/fonds-daide-au-jeu-video-fajv_191468" TargetMode="External"/><Relationship Id="rId2" Type="http://schemas.openxmlformats.org/officeDocument/2006/relationships/hyperlink" Target="https://www.coe.int/en/web/conventions/cets-number-/-abridged-title-known?module=signatures-by-treaty&amp;treatynum=132" TargetMode="External"/><Relationship Id="rId1" Type="http://schemas.openxmlformats.org/officeDocument/2006/relationships/hyperlink" Target="https://www.coe.int/en/web/conventions/cets-number-/-abridged-title-known?module=signatures-by-treaty&amp;treatynum=132"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3" Type="http://schemas.openxmlformats.org/officeDocument/2006/relationships/vmlDrawing" Target="../drawings/vmlDrawing2.v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drawing" Target="../drawings/drawing2.xml"/><Relationship Id="rId16" Type="http://schemas.openxmlformats.org/officeDocument/2006/relationships/ctrlProp" Target="../ctrlProps/ctrlProp12.xml"/><Relationship Id="rId20" Type="http://schemas.openxmlformats.org/officeDocument/2006/relationships/ctrlProp" Target="../ctrlProps/ctrlProp16.xml"/><Relationship Id="rId1" Type="http://schemas.openxmlformats.org/officeDocument/2006/relationships/printerSettings" Target="../printerSettings/printerSettings2.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19" Type="http://schemas.openxmlformats.org/officeDocument/2006/relationships/ctrlProp" Target="../ctrlProps/ctrlProp15.xml"/><Relationship Id="rId4" Type="http://schemas.openxmlformats.org/officeDocument/2006/relationships/vmlDrawing" Target="../drawings/vmlDrawing3.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130.xml"/><Relationship Id="rId21" Type="http://schemas.openxmlformats.org/officeDocument/2006/relationships/ctrlProp" Target="../ctrlProps/ctrlProp34.xml"/><Relationship Id="rId42" Type="http://schemas.openxmlformats.org/officeDocument/2006/relationships/ctrlProp" Target="../ctrlProps/ctrlProp55.xml"/><Relationship Id="rId63" Type="http://schemas.openxmlformats.org/officeDocument/2006/relationships/ctrlProp" Target="../ctrlProps/ctrlProp76.xml"/><Relationship Id="rId84" Type="http://schemas.openxmlformats.org/officeDocument/2006/relationships/ctrlProp" Target="../ctrlProps/ctrlProp97.xml"/><Relationship Id="rId16" Type="http://schemas.openxmlformats.org/officeDocument/2006/relationships/ctrlProp" Target="../ctrlProps/ctrlProp29.xml"/><Relationship Id="rId107" Type="http://schemas.openxmlformats.org/officeDocument/2006/relationships/ctrlProp" Target="../ctrlProps/ctrlProp120.xml"/><Relationship Id="rId11" Type="http://schemas.openxmlformats.org/officeDocument/2006/relationships/ctrlProp" Target="../ctrlProps/ctrlProp24.xml"/><Relationship Id="rId32" Type="http://schemas.openxmlformats.org/officeDocument/2006/relationships/ctrlProp" Target="../ctrlProps/ctrlProp45.xml"/><Relationship Id="rId37" Type="http://schemas.openxmlformats.org/officeDocument/2006/relationships/ctrlProp" Target="../ctrlProps/ctrlProp50.xml"/><Relationship Id="rId53" Type="http://schemas.openxmlformats.org/officeDocument/2006/relationships/ctrlProp" Target="../ctrlProps/ctrlProp66.xml"/><Relationship Id="rId58" Type="http://schemas.openxmlformats.org/officeDocument/2006/relationships/ctrlProp" Target="../ctrlProps/ctrlProp71.xml"/><Relationship Id="rId74" Type="http://schemas.openxmlformats.org/officeDocument/2006/relationships/ctrlProp" Target="../ctrlProps/ctrlProp87.xml"/><Relationship Id="rId79" Type="http://schemas.openxmlformats.org/officeDocument/2006/relationships/ctrlProp" Target="../ctrlProps/ctrlProp92.xml"/><Relationship Id="rId102" Type="http://schemas.openxmlformats.org/officeDocument/2006/relationships/ctrlProp" Target="../ctrlProps/ctrlProp115.xml"/><Relationship Id="rId123" Type="http://schemas.openxmlformats.org/officeDocument/2006/relationships/ctrlProp" Target="../ctrlProps/ctrlProp136.xml"/><Relationship Id="rId128" Type="http://schemas.openxmlformats.org/officeDocument/2006/relationships/ctrlProp" Target="../ctrlProps/ctrlProp141.xml"/><Relationship Id="rId5" Type="http://schemas.openxmlformats.org/officeDocument/2006/relationships/ctrlProp" Target="../ctrlProps/ctrlProp18.xml"/><Relationship Id="rId90" Type="http://schemas.openxmlformats.org/officeDocument/2006/relationships/ctrlProp" Target="../ctrlProps/ctrlProp103.xml"/><Relationship Id="rId95" Type="http://schemas.openxmlformats.org/officeDocument/2006/relationships/ctrlProp" Target="../ctrlProps/ctrlProp108.xml"/><Relationship Id="rId22" Type="http://schemas.openxmlformats.org/officeDocument/2006/relationships/ctrlProp" Target="../ctrlProps/ctrlProp35.xml"/><Relationship Id="rId27" Type="http://schemas.openxmlformats.org/officeDocument/2006/relationships/ctrlProp" Target="../ctrlProps/ctrlProp40.xml"/><Relationship Id="rId43" Type="http://schemas.openxmlformats.org/officeDocument/2006/relationships/ctrlProp" Target="../ctrlProps/ctrlProp56.xml"/><Relationship Id="rId48" Type="http://schemas.openxmlformats.org/officeDocument/2006/relationships/ctrlProp" Target="../ctrlProps/ctrlProp61.xml"/><Relationship Id="rId64" Type="http://schemas.openxmlformats.org/officeDocument/2006/relationships/ctrlProp" Target="../ctrlProps/ctrlProp77.xml"/><Relationship Id="rId69" Type="http://schemas.openxmlformats.org/officeDocument/2006/relationships/ctrlProp" Target="../ctrlProps/ctrlProp82.xml"/><Relationship Id="rId113" Type="http://schemas.openxmlformats.org/officeDocument/2006/relationships/ctrlProp" Target="../ctrlProps/ctrlProp126.xml"/><Relationship Id="rId118" Type="http://schemas.openxmlformats.org/officeDocument/2006/relationships/ctrlProp" Target="../ctrlProps/ctrlProp131.xml"/><Relationship Id="rId134" Type="http://schemas.openxmlformats.org/officeDocument/2006/relationships/ctrlProp" Target="../ctrlProps/ctrlProp147.xml"/><Relationship Id="rId80" Type="http://schemas.openxmlformats.org/officeDocument/2006/relationships/ctrlProp" Target="../ctrlProps/ctrlProp93.xml"/><Relationship Id="rId85" Type="http://schemas.openxmlformats.org/officeDocument/2006/relationships/ctrlProp" Target="../ctrlProps/ctrlProp98.xml"/><Relationship Id="rId12" Type="http://schemas.openxmlformats.org/officeDocument/2006/relationships/ctrlProp" Target="../ctrlProps/ctrlProp25.xml"/><Relationship Id="rId17" Type="http://schemas.openxmlformats.org/officeDocument/2006/relationships/ctrlProp" Target="../ctrlProps/ctrlProp30.xml"/><Relationship Id="rId33" Type="http://schemas.openxmlformats.org/officeDocument/2006/relationships/ctrlProp" Target="../ctrlProps/ctrlProp46.xml"/><Relationship Id="rId38" Type="http://schemas.openxmlformats.org/officeDocument/2006/relationships/ctrlProp" Target="../ctrlProps/ctrlProp51.xml"/><Relationship Id="rId59" Type="http://schemas.openxmlformats.org/officeDocument/2006/relationships/ctrlProp" Target="../ctrlProps/ctrlProp72.xml"/><Relationship Id="rId103" Type="http://schemas.openxmlformats.org/officeDocument/2006/relationships/ctrlProp" Target="../ctrlProps/ctrlProp116.xml"/><Relationship Id="rId108" Type="http://schemas.openxmlformats.org/officeDocument/2006/relationships/ctrlProp" Target="../ctrlProps/ctrlProp121.xml"/><Relationship Id="rId124" Type="http://schemas.openxmlformats.org/officeDocument/2006/relationships/ctrlProp" Target="../ctrlProps/ctrlProp137.xml"/><Relationship Id="rId129" Type="http://schemas.openxmlformats.org/officeDocument/2006/relationships/ctrlProp" Target="../ctrlProps/ctrlProp142.xml"/><Relationship Id="rId54" Type="http://schemas.openxmlformats.org/officeDocument/2006/relationships/ctrlProp" Target="../ctrlProps/ctrlProp67.xml"/><Relationship Id="rId70" Type="http://schemas.openxmlformats.org/officeDocument/2006/relationships/ctrlProp" Target="../ctrlProps/ctrlProp83.xml"/><Relationship Id="rId75" Type="http://schemas.openxmlformats.org/officeDocument/2006/relationships/ctrlProp" Target="../ctrlProps/ctrlProp88.xml"/><Relationship Id="rId91" Type="http://schemas.openxmlformats.org/officeDocument/2006/relationships/ctrlProp" Target="../ctrlProps/ctrlProp104.xml"/><Relationship Id="rId96" Type="http://schemas.openxmlformats.org/officeDocument/2006/relationships/ctrlProp" Target="../ctrlProps/ctrlProp109.xml"/><Relationship Id="rId1" Type="http://schemas.openxmlformats.org/officeDocument/2006/relationships/printerSettings" Target="../printerSettings/printerSettings5.bin"/><Relationship Id="rId6" Type="http://schemas.openxmlformats.org/officeDocument/2006/relationships/ctrlProp" Target="../ctrlProps/ctrlProp19.xml"/><Relationship Id="rId23" Type="http://schemas.openxmlformats.org/officeDocument/2006/relationships/ctrlProp" Target="../ctrlProps/ctrlProp36.xml"/><Relationship Id="rId28" Type="http://schemas.openxmlformats.org/officeDocument/2006/relationships/ctrlProp" Target="../ctrlProps/ctrlProp41.xml"/><Relationship Id="rId49" Type="http://schemas.openxmlformats.org/officeDocument/2006/relationships/ctrlProp" Target="../ctrlProps/ctrlProp62.xml"/><Relationship Id="rId114" Type="http://schemas.openxmlformats.org/officeDocument/2006/relationships/ctrlProp" Target="../ctrlProps/ctrlProp127.xml"/><Relationship Id="rId119" Type="http://schemas.openxmlformats.org/officeDocument/2006/relationships/ctrlProp" Target="../ctrlProps/ctrlProp132.xml"/><Relationship Id="rId44" Type="http://schemas.openxmlformats.org/officeDocument/2006/relationships/ctrlProp" Target="../ctrlProps/ctrlProp57.xml"/><Relationship Id="rId60" Type="http://schemas.openxmlformats.org/officeDocument/2006/relationships/ctrlProp" Target="../ctrlProps/ctrlProp73.xml"/><Relationship Id="rId65" Type="http://schemas.openxmlformats.org/officeDocument/2006/relationships/ctrlProp" Target="../ctrlProps/ctrlProp78.xml"/><Relationship Id="rId81" Type="http://schemas.openxmlformats.org/officeDocument/2006/relationships/ctrlProp" Target="../ctrlProps/ctrlProp94.xml"/><Relationship Id="rId86" Type="http://schemas.openxmlformats.org/officeDocument/2006/relationships/ctrlProp" Target="../ctrlProps/ctrlProp99.xml"/><Relationship Id="rId130" Type="http://schemas.openxmlformats.org/officeDocument/2006/relationships/ctrlProp" Target="../ctrlProps/ctrlProp143.xml"/><Relationship Id="rId135" Type="http://schemas.openxmlformats.org/officeDocument/2006/relationships/ctrlProp" Target="../ctrlProps/ctrlProp148.xml"/><Relationship Id="rId13" Type="http://schemas.openxmlformats.org/officeDocument/2006/relationships/ctrlProp" Target="../ctrlProps/ctrlProp26.xml"/><Relationship Id="rId18" Type="http://schemas.openxmlformats.org/officeDocument/2006/relationships/ctrlProp" Target="../ctrlProps/ctrlProp31.xml"/><Relationship Id="rId39" Type="http://schemas.openxmlformats.org/officeDocument/2006/relationships/ctrlProp" Target="../ctrlProps/ctrlProp52.xml"/><Relationship Id="rId109" Type="http://schemas.openxmlformats.org/officeDocument/2006/relationships/ctrlProp" Target="../ctrlProps/ctrlProp122.xml"/><Relationship Id="rId34" Type="http://schemas.openxmlformats.org/officeDocument/2006/relationships/ctrlProp" Target="../ctrlProps/ctrlProp47.xml"/><Relationship Id="rId50" Type="http://schemas.openxmlformats.org/officeDocument/2006/relationships/ctrlProp" Target="../ctrlProps/ctrlProp63.xml"/><Relationship Id="rId55" Type="http://schemas.openxmlformats.org/officeDocument/2006/relationships/ctrlProp" Target="../ctrlProps/ctrlProp68.xml"/><Relationship Id="rId76" Type="http://schemas.openxmlformats.org/officeDocument/2006/relationships/ctrlProp" Target="../ctrlProps/ctrlProp89.xml"/><Relationship Id="rId97" Type="http://schemas.openxmlformats.org/officeDocument/2006/relationships/ctrlProp" Target="../ctrlProps/ctrlProp110.xml"/><Relationship Id="rId104" Type="http://schemas.openxmlformats.org/officeDocument/2006/relationships/ctrlProp" Target="../ctrlProps/ctrlProp117.xml"/><Relationship Id="rId120" Type="http://schemas.openxmlformats.org/officeDocument/2006/relationships/ctrlProp" Target="../ctrlProps/ctrlProp133.xml"/><Relationship Id="rId125" Type="http://schemas.openxmlformats.org/officeDocument/2006/relationships/ctrlProp" Target="../ctrlProps/ctrlProp138.xml"/><Relationship Id="rId7" Type="http://schemas.openxmlformats.org/officeDocument/2006/relationships/ctrlProp" Target="../ctrlProps/ctrlProp20.xml"/><Relationship Id="rId71" Type="http://schemas.openxmlformats.org/officeDocument/2006/relationships/ctrlProp" Target="../ctrlProps/ctrlProp84.xml"/><Relationship Id="rId92" Type="http://schemas.openxmlformats.org/officeDocument/2006/relationships/ctrlProp" Target="../ctrlProps/ctrlProp105.xml"/><Relationship Id="rId2" Type="http://schemas.openxmlformats.org/officeDocument/2006/relationships/drawing" Target="../drawings/drawing5.xml"/><Relationship Id="rId29" Type="http://schemas.openxmlformats.org/officeDocument/2006/relationships/ctrlProp" Target="../ctrlProps/ctrlProp42.xml"/><Relationship Id="rId24" Type="http://schemas.openxmlformats.org/officeDocument/2006/relationships/ctrlProp" Target="../ctrlProps/ctrlProp37.xml"/><Relationship Id="rId40" Type="http://schemas.openxmlformats.org/officeDocument/2006/relationships/ctrlProp" Target="../ctrlProps/ctrlProp53.xml"/><Relationship Id="rId45" Type="http://schemas.openxmlformats.org/officeDocument/2006/relationships/ctrlProp" Target="../ctrlProps/ctrlProp58.xml"/><Relationship Id="rId66" Type="http://schemas.openxmlformats.org/officeDocument/2006/relationships/ctrlProp" Target="../ctrlProps/ctrlProp79.xml"/><Relationship Id="rId87" Type="http://schemas.openxmlformats.org/officeDocument/2006/relationships/ctrlProp" Target="../ctrlProps/ctrlProp100.xml"/><Relationship Id="rId110" Type="http://schemas.openxmlformats.org/officeDocument/2006/relationships/ctrlProp" Target="../ctrlProps/ctrlProp123.xml"/><Relationship Id="rId115" Type="http://schemas.openxmlformats.org/officeDocument/2006/relationships/ctrlProp" Target="../ctrlProps/ctrlProp128.xml"/><Relationship Id="rId131" Type="http://schemas.openxmlformats.org/officeDocument/2006/relationships/ctrlProp" Target="../ctrlProps/ctrlProp144.xml"/><Relationship Id="rId136" Type="http://schemas.openxmlformats.org/officeDocument/2006/relationships/ctrlProp" Target="../ctrlProps/ctrlProp149.xml"/><Relationship Id="rId61" Type="http://schemas.openxmlformats.org/officeDocument/2006/relationships/ctrlProp" Target="../ctrlProps/ctrlProp74.xml"/><Relationship Id="rId82" Type="http://schemas.openxmlformats.org/officeDocument/2006/relationships/ctrlProp" Target="../ctrlProps/ctrlProp95.xml"/><Relationship Id="rId19" Type="http://schemas.openxmlformats.org/officeDocument/2006/relationships/ctrlProp" Target="../ctrlProps/ctrlProp32.xml"/><Relationship Id="rId14" Type="http://schemas.openxmlformats.org/officeDocument/2006/relationships/ctrlProp" Target="../ctrlProps/ctrlProp27.xml"/><Relationship Id="rId30" Type="http://schemas.openxmlformats.org/officeDocument/2006/relationships/ctrlProp" Target="../ctrlProps/ctrlProp43.xml"/><Relationship Id="rId35" Type="http://schemas.openxmlformats.org/officeDocument/2006/relationships/ctrlProp" Target="../ctrlProps/ctrlProp48.xml"/><Relationship Id="rId56" Type="http://schemas.openxmlformats.org/officeDocument/2006/relationships/ctrlProp" Target="../ctrlProps/ctrlProp69.xml"/><Relationship Id="rId77" Type="http://schemas.openxmlformats.org/officeDocument/2006/relationships/ctrlProp" Target="../ctrlProps/ctrlProp90.xml"/><Relationship Id="rId100" Type="http://schemas.openxmlformats.org/officeDocument/2006/relationships/ctrlProp" Target="../ctrlProps/ctrlProp113.xml"/><Relationship Id="rId105" Type="http://schemas.openxmlformats.org/officeDocument/2006/relationships/ctrlProp" Target="../ctrlProps/ctrlProp118.xml"/><Relationship Id="rId126" Type="http://schemas.openxmlformats.org/officeDocument/2006/relationships/ctrlProp" Target="../ctrlProps/ctrlProp139.xml"/><Relationship Id="rId8" Type="http://schemas.openxmlformats.org/officeDocument/2006/relationships/ctrlProp" Target="../ctrlProps/ctrlProp21.xml"/><Relationship Id="rId51" Type="http://schemas.openxmlformats.org/officeDocument/2006/relationships/ctrlProp" Target="../ctrlProps/ctrlProp64.xml"/><Relationship Id="rId72" Type="http://schemas.openxmlformats.org/officeDocument/2006/relationships/ctrlProp" Target="../ctrlProps/ctrlProp85.xml"/><Relationship Id="rId93" Type="http://schemas.openxmlformats.org/officeDocument/2006/relationships/ctrlProp" Target="../ctrlProps/ctrlProp106.xml"/><Relationship Id="rId98" Type="http://schemas.openxmlformats.org/officeDocument/2006/relationships/ctrlProp" Target="../ctrlProps/ctrlProp111.xml"/><Relationship Id="rId121" Type="http://schemas.openxmlformats.org/officeDocument/2006/relationships/ctrlProp" Target="../ctrlProps/ctrlProp134.xml"/><Relationship Id="rId3" Type="http://schemas.openxmlformats.org/officeDocument/2006/relationships/vmlDrawing" Target="../drawings/vmlDrawing5.vml"/><Relationship Id="rId25" Type="http://schemas.openxmlformats.org/officeDocument/2006/relationships/ctrlProp" Target="../ctrlProps/ctrlProp38.xml"/><Relationship Id="rId46" Type="http://schemas.openxmlformats.org/officeDocument/2006/relationships/ctrlProp" Target="../ctrlProps/ctrlProp59.xml"/><Relationship Id="rId67" Type="http://schemas.openxmlformats.org/officeDocument/2006/relationships/ctrlProp" Target="../ctrlProps/ctrlProp80.xml"/><Relationship Id="rId116" Type="http://schemas.openxmlformats.org/officeDocument/2006/relationships/ctrlProp" Target="../ctrlProps/ctrlProp129.xml"/><Relationship Id="rId20" Type="http://schemas.openxmlformats.org/officeDocument/2006/relationships/ctrlProp" Target="../ctrlProps/ctrlProp33.xml"/><Relationship Id="rId41" Type="http://schemas.openxmlformats.org/officeDocument/2006/relationships/ctrlProp" Target="../ctrlProps/ctrlProp54.xml"/><Relationship Id="rId62" Type="http://schemas.openxmlformats.org/officeDocument/2006/relationships/ctrlProp" Target="../ctrlProps/ctrlProp75.xml"/><Relationship Id="rId83" Type="http://schemas.openxmlformats.org/officeDocument/2006/relationships/ctrlProp" Target="../ctrlProps/ctrlProp96.xml"/><Relationship Id="rId88" Type="http://schemas.openxmlformats.org/officeDocument/2006/relationships/ctrlProp" Target="../ctrlProps/ctrlProp101.xml"/><Relationship Id="rId111" Type="http://schemas.openxmlformats.org/officeDocument/2006/relationships/ctrlProp" Target="../ctrlProps/ctrlProp124.xml"/><Relationship Id="rId132" Type="http://schemas.openxmlformats.org/officeDocument/2006/relationships/ctrlProp" Target="../ctrlProps/ctrlProp145.xml"/><Relationship Id="rId15" Type="http://schemas.openxmlformats.org/officeDocument/2006/relationships/ctrlProp" Target="../ctrlProps/ctrlProp28.xml"/><Relationship Id="rId36" Type="http://schemas.openxmlformats.org/officeDocument/2006/relationships/ctrlProp" Target="../ctrlProps/ctrlProp49.xml"/><Relationship Id="rId57" Type="http://schemas.openxmlformats.org/officeDocument/2006/relationships/ctrlProp" Target="../ctrlProps/ctrlProp70.xml"/><Relationship Id="rId106" Type="http://schemas.openxmlformats.org/officeDocument/2006/relationships/ctrlProp" Target="../ctrlProps/ctrlProp119.xml"/><Relationship Id="rId127" Type="http://schemas.openxmlformats.org/officeDocument/2006/relationships/ctrlProp" Target="../ctrlProps/ctrlProp140.xml"/><Relationship Id="rId10" Type="http://schemas.openxmlformats.org/officeDocument/2006/relationships/ctrlProp" Target="../ctrlProps/ctrlProp23.xml"/><Relationship Id="rId31" Type="http://schemas.openxmlformats.org/officeDocument/2006/relationships/ctrlProp" Target="../ctrlProps/ctrlProp44.xml"/><Relationship Id="rId52" Type="http://schemas.openxmlformats.org/officeDocument/2006/relationships/ctrlProp" Target="../ctrlProps/ctrlProp65.xml"/><Relationship Id="rId73" Type="http://schemas.openxmlformats.org/officeDocument/2006/relationships/ctrlProp" Target="../ctrlProps/ctrlProp86.xml"/><Relationship Id="rId78" Type="http://schemas.openxmlformats.org/officeDocument/2006/relationships/ctrlProp" Target="../ctrlProps/ctrlProp91.xml"/><Relationship Id="rId94" Type="http://schemas.openxmlformats.org/officeDocument/2006/relationships/ctrlProp" Target="../ctrlProps/ctrlProp107.xml"/><Relationship Id="rId99" Type="http://schemas.openxmlformats.org/officeDocument/2006/relationships/ctrlProp" Target="../ctrlProps/ctrlProp112.xml"/><Relationship Id="rId101" Type="http://schemas.openxmlformats.org/officeDocument/2006/relationships/ctrlProp" Target="../ctrlProps/ctrlProp114.xml"/><Relationship Id="rId122" Type="http://schemas.openxmlformats.org/officeDocument/2006/relationships/ctrlProp" Target="../ctrlProps/ctrlProp135.xml"/><Relationship Id="rId4" Type="http://schemas.openxmlformats.org/officeDocument/2006/relationships/vmlDrawing" Target="../drawings/vmlDrawing6.vml"/><Relationship Id="rId9" Type="http://schemas.openxmlformats.org/officeDocument/2006/relationships/ctrlProp" Target="../ctrlProps/ctrlProp22.xml"/><Relationship Id="rId26" Type="http://schemas.openxmlformats.org/officeDocument/2006/relationships/ctrlProp" Target="../ctrlProps/ctrlProp39.xml"/><Relationship Id="rId47" Type="http://schemas.openxmlformats.org/officeDocument/2006/relationships/ctrlProp" Target="../ctrlProps/ctrlProp60.xml"/><Relationship Id="rId68" Type="http://schemas.openxmlformats.org/officeDocument/2006/relationships/ctrlProp" Target="../ctrlProps/ctrlProp81.xml"/><Relationship Id="rId89" Type="http://schemas.openxmlformats.org/officeDocument/2006/relationships/ctrlProp" Target="../ctrlProps/ctrlProp102.xml"/><Relationship Id="rId112" Type="http://schemas.openxmlformats.org/officeDocument/2006/relationships/ctrlProp" Target="../ctrlProps/ctrlProp125.xml"/><Relationship Id="rId133" Type="http://schemas.openxmlformats.org/officeDocument/2006/relationships/ctrlProp" Target="../ctrlProps/ctrlProp14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3" Type="http://schemas.openxmlformats.org/officeDocument/2006/relationships/ctrlProp" Target="../ctrlProps/ctrlProp157.xml"/><Relationship Id="rId18" Type="http://schemas.openxmlformats.org/officeDocument/2006/relationships/ctrlProp" Target="../ctrlProps/ctrlProp162.xml"/><Relationship Id="rId26" Type="http://schemas.openxmlformats.org/officeDocument/2006/relationships/ctrlProp" Target="../ctrlProps/ctrlProp170.xml"/><Relationship Id="rId39" Type="http://schemas.openxmlformats.org/officeDocument/2006/relationships/ctrlProp" Target="../ctrlProps/ctrlProp183.xml"/><Relationship Id="rId21" Type="http://schemas.openxmlformats.org/officeDocument/2006/relationships/ctrlProp" Target="../ctrlProps/ctrlProp165.xml"/><Relationship Id="rId34" Type="http://schemas.openxmlformats.org/officeDocument/2006/relationships/ctrlProp" Target="../ctrlProps/ctrlProp178.xml"/><Relationship Id="rId42" Type="http://schemas.openxmlformats.org/officeDocument/2006/relationships/ctrlProp" Target="../ctrlProps/ctrlProp186.xml"/><Relationship Id="rId47" Type="http://schemas.openxmlformats.org/officeDocument/2006/relationships/ctrlProp" Target="../ctrlProps/ctrlProp191.xml"/><Relationship Id="rId50" Type="http://schemas.openxmlformats.org/officeDocument/2006/relationships/ctrlProp" Target="../ctrlProps/ctrlProp194.xml"/><Relationship Id="rId55" Type="http://schemas.openxmlformats.org/officeDocument/2006/relationships/ctrlProp" Target="../ctrlProps/ctrlProp199.xml"/><Relationship Id="rId7" Type="http://schemas.openxmlformats.org/officeDocument/2006/relationships/ctrlProp" Target="../ctrlProps/ctrlProp151.xml"/><Relationship Id="rId2" Type="http://schemas.openxmlformats.org/officeDocument/2006/relationships/drawing" Target="../drawings/drawing8.xml"/><Relationship Id="rId16" Type="http://schemas.openxmlformats.org/officeDocument/2006/relationships/ctrlProp" Target="../ctrlProps/ctrlProp160.xml"/><Relationship Id="rId29" Type="http://schemas.openxmlformats.org/officeDocument/2006/relationships/ctrlProp" Target="../ctrlProps/ctrlProp173.xml"/><Relationship Id="rId11" Type="http://schemas.openxmlformats.org/officeDocument/2006/relationships/ctrlProp" Target="../ctrlProps/ctrlProp155.xml"/><Relationship Id="rId24" Type="http://schemas.openxmlformats.org/officeDocument/2006/relationships/ctrlProp" Target="../ctrlProps/ctrlProp168.xml"/><Relationship Id="rId32" Type="http://schemas.openxmlformats.org/officeDocument/2006/relationships/ctrlProp" Target="../ctrlProps/ctrlProp176.xml"/><Relationship Id="rId37" Type="http://schemas.openxmlformats.org/officeDocument/2006/relationships/ctrlProp" Target="../ctrlProps/ctrlProp181.xml"/><Relationship Id="rId40" Type="http://schemas.openxmlformats.org/officeDocument/2006/relationships/ctrlProp" Target="../ctrlProps/ctrlProp184.xml"/><Relationship Id="rId45" Type="http://schemas.openxmlformats.org/officeDocument/2006/relationships/ctrlProp" Target="../ctrlProps/ctrlProp189.xml"/><Relationship Id="rId53" Type="http://schemas.openxmlformats.org/officeDocument/2006/relationships/ctrlProp" Target="../ctrlProps/ctrlProp197.xml"/><Relationship Id="rId58" Type="http://schemas.openxmlformats.org/officeDocument/2006/relationships/ctrlProp" Target="../ctrlProps/ctrlProp202.xml"/><Relationship Id="rId5" Type="http://schemas.openxmlformats.org/officeDocument/2006/relationships/image" Target="../media/image3.emf"/><Relationship Id="rId19" Type="http://schemas.openxmlformats.org/officeDocument/2006/relationships/ctrlProp" Target="../ctrlProps/ctrlProp163.xml"/><Relationship Id="rId4" Type="http://schemas.openxmlformats.org/officeDocument/2006/relationships/oleObject" Target="../embeddings/Microsoft_Word_97_-_2003_Document.doc"/><Relationship Id="rId9" Type="http://schemas.openxmlformats.org/officeDocument/2006/relationships/ctrlProp" Target="../ctrlProps/ctrlProp153.xml"/><Relationship Id="rId14" Type="http://schemas.openxmlformats.org/officeDocument/2006/relationships/ctrlProp" Target="../ctrlProps/ctrlProp158.xml"/><Relationship Id="rId22" Type="http://schemas.openxmlformats.org/officeDocument/2006/relationships/ctrlProp" Target="../ctrlProps/ctrlProp166.xml"/><Relationship Id="rId27" Type="http://schemas.openxmlformats.org/officeDocument/2006/relationships/ctrlProp" Target="../ctrlProps/ctrlProp171.xml"/><Relationship Id="rId30" Type="http://schemas.openxmlformats.org/officeDocument/2006/relationships/ctrlProp" Target="../ctrlProps/ctrlProp174.xml"/><Relationship Id="rId35" Type="http://schemas.openxmlformats.org/officeDocument/2006/relationships/ctrlProp" Target="../ctrlProps/ctrlProp179.xml"/><Relationship Id="rId43" Type="http://schemas.openxmlformats.org/officeDocument/2006/relationships/ctrlProp" Target="../ctrlProps/ctrlProp187.xml"/><Relationship Id="rId48" Type="http://schemas.openxmlformats.org/officeDocument/2006/relationships/ctrlProp" Target="../ctrlProps/ctrlProp192.xml"/><Relationship Id="rId56" Type="http://schemas.openxmlformats.org/officeDocument/2006/relationships/ctrlProp" Target="../ctrlProps/ctrlProp200.xml"/><Relationship Id="rId8" Type="http://schemas.openxmlformats.org/officeDocument/2006/relationships/ctrlProp" Target="../ctrlProps/ctrlProp152.xml"/><Relationship Id="rId51" Type="http://schemas.openxmlformats.org/officeDocument/2006/relationships/ctrlProp" Target="../ctrlProps/ctrlProp195.xml"/><Relationship Id="rId3" Type="http://schemas.openxmlformats.org/officeDocument/2006/relationships/vmlDrawing" Target="../drawings/vmlDrawing9.vml"/><Relationship Id="rId12" Type="http://schemas.openxmlformats.org/officeDocument/2006/relationships/ctrlProp" Target="../ctrlProps/ctrlProp156.xml"/><Relationship Id="rId17" Type="http://schemas.openxmlformats.org/officeDocument/2006/relationships/ctrlProp" Target="../ctrlProps/ctrlProp161.xml"/><Relationship Id="rId25" Type="http://schemas.openxmlformats.org/officeDocument/2006/relationships/ctrlProp" Target="../ctrlProps/ctrlProp169.xml"/><Relationship Id="rId33" Type="http://schemas.openxmlformats.org/officeDocument/2006/relationships/ctrlProp" Target="../ctrlProps/ctrlProp177.xml"/><Relationship Id="rId38" Type="http://schemas.openxmlformats.org/officeDocument/2006/relationships/ctrlProp" Target="../ctrlProps/ctrlProp182.xml"/><Relationship Id="rId46" Type="http://schemas.openxmlformats.org/officeDocument/2006/relationships/ctrlProp" Target="../ctrlProps/ctrlProp190.xml"/><Relationship Id="rId59" Type="http://schemas.openxmlformats.org/officeDocument/2006/relationships/ctrlProp" Target="../ctrlProps/ctrlProp203.xml"/><Relationship Id="rId20" Type="http://schemas.openxmlformats.org/officeDocument/2006/relationships/ctrlProp" Target="../ctrlProps/ctrlProp164.xml"/><Relationship Id="rId41" Type="http://schemas.openxmlformats.org/officeDocument/2006/relationships/ctrlProp" Target="../ctrlProps/ctrlProp185.xml"/><Relationship Id="rId54" Type="http://schemas.openxmlformats.org/officeDocument/2006/relationships/ctrlProp" Target="../ctrlProps/ctrlProp198.xml"/><Relationship Id="rId1" Type="http://schemas.openxmlformats.org/officeDocument/2006/relationships/printerSettings" Target="../printerSettings/printerSettings9.bin"/><Relationship Id="rId6" Type="http://schemas.openxmlformats.org/officeDocument/2006/relationships/ctrlProp" Target="../ctrlProps/ctrlProp150.xml"/><Relationship Id="rId15" Type="http://schemas.openxmlformats.org/officeDocument/2006/relationships/ctrlProp" Target="../ctrlProps/ctrlProp159.xml"/><Relationship Id="rId23" Type="http://schemas.openxmlformats.org/officeDocument/2006/relationships/ctrlProp" Target="../ctrlProps/ctrlProp167.xml"/><Relationship Id="rId28" Type="http://schemas.openxmlformats.org/officeDocument/2006/relationships/ctrlProp" Target="../ctrlProps/ctrlProp172.xml"/><Relationship Id="rId36" Type="http://schemas.openxmlformats.org/officeDocument/2006/relationships/ctrlProp" Target="../ctrlProps/ctrlProp180.xml"/><Relationship Id="rId49" Type="http://schemas.openxmlformats.org/officeDocument/2006/relationships/ctrlProp" Target="../ctrlProps/ctrlProp193.xml"/><Relationship Id="rId57" Type="http://schemas.openxmlformats.org/officeDocument/2006/relationships/ctrlProp" Target="../ctrlProps/ctrlProp201.xml"/><Relationship Id="rId10" Type="http://schemas.openxmlformats.org/officeDocument/2006/relationships/ctrlProp" Target="../ctrlProps/ctrlProp154.xml"/><Relationship Id="rId31" Type="http://schemas.openxmlformats.org/officeDocument/2006/relationships/ctrlProp" Target="../ctrlProps/ctrlProp175.xml"/><Relationship Id="rId44" Type="http://schemas.openxmlformats.org/officeDocument/2006/relationships/ctrlProp" Target="../ctrlProps/ctrlProp188.xml"/><Relationship Id="rId52" Type="http://schemas.openxmlformats.org/officeDocument/2006/relationships/ctrlProp" Target="../ctrlProps/ctrlProp196.xml"/><Relationship Id="rId60"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G64"/>
  <sheetViews>
    <sheetView showGridLines="0" tabSelected="1" view="pageBreakPreview" zoomScale="80" zoomScaleNormal="85" zoomScaleSheetLayoutView="80" workbookViewId="0">
      <selection activeCell="E28" sqref="E28"/>
    </sheetView>
  </sheetViews>
  <sheetFormatPr baseColWidth="10" defaultColWidth="11.42578125" defaultRowHeight="12.75" x14ac:dyDescent="0.2"/>
  <cols>
    <col min="1" max="4" width="3.7109375" style="80" customWidth="1"/>
    <col min="5" max="5" width="25.85546875" style="80" customWidth="1"/>
    <col min="6" max="13" width="3.7109375" style="80" customWidth="1"/>
    <col min="14" max="14" width="4.42578125" style="80" customWidth="1"/>
    <col min="15" max="18" width="3.7109375" style="80" customWidth="1"/>
    <col min="19" max="19" width="20.42578125" style="80" customWidth="1"/>
    <col min="20" max="29" width="3.7109375" style="80" customWidth="1"/>
    <col min="30" max="30" width="1.85546875" style="80" customWidth="1"/>
    <col min="31" max="31" width="13.140625" style="80" customWidth="1"/>
    <col min="32" max="16384" width="11.42578125" style="80"/>
  </cols>
  <sheetData>
    <row r="2" spans="2:31" ht="69.75" customHeight="1" x14ac:dyDescent="0.2">
      <c r="K2" s="343"/>
      <c r="L2" s="344"/>
      <c r="M2" s="344"/>
      <c r="N2" s="344"/>
      <c r="O2" s="344"/>
      <c r="P2" s="344"/>
      <c r="Q2" s="344"/>
      <c r="R2" s="344"/>
      <c r="S2" s="344"/>
      <c r="T2" s="344"/>
      <c r="U2" s="344"/>
      <c r="V2" s="344"/>
      <c r="W2" s="344"/>
      <c r="X2" s="344"/>
      <c r="Y2" s="344"/>
      <c r="Z2" s="344"/>
      <c r="AA2" s="344"/>
      <c r="AB2" s="344"/>
      <c r="AC2" s="344"/>
      <c r="AD2" s="344"/>
    </row>
    <row r="3" spans="2:31" ht="12" customHeight="1" x14ac:dyDescent="0.2"/>
    <row r="4" spans="2:31" s="151" customFormat="1" ht="11.25" customHeight="1" x14ac:dyDescent="0.2">
      <c r="B4" s="74"/>
      <c r="C4" s="80"/>
      <c r="D4" s="80"/>
      <c r="E4" s="82"/>
      <c r="F4" s="82"/>
      <c r="G4" s="82"/>
      <c r="H4" s="82"/>
      <c r="I4" s="82"/>
      <c r="J4" s="82"/>
      <c r="K4" s="82"/>
      <c r="L4" s="82"/>
      <c r="M4" s="82"/>
      <c r="N4" s="82"/>
      <c r="O4" s="82"/>
      <c r="P4" s="82"/>
      <c r="Q4" s="82"/>
      <c r="R4" s="82"/>
      <c r="S4" s="82"/>
      <c r="T4" s="82"/>
      <c r="U4" s="82"/>
      <c r="V4" s="82"/>
      <c r="W4" s="82"/>
      <c r="X4" s="82"/>
      <c r="Y4" s="82"/>
      <c r="Z4" s="80"/>
      <c r="AA4" s="80"/>
      <c r="AB4" s="80"/>
      <c r="AC4" s="70"/>
      <c r="AD4" s="70"/>
    </row>
    <row r="5" spans="2:31" ht="15" x14ac:dyDescent="0.2">
      <c r="E5" s="82"/>
      <c r="F5" s="82"/>
      <c r="G5" s="82"/>
      <c r="H5" s="82"/>
      <c r="I5" s="82"/>
      <c r="J5" s="82"/>
      <c r="K5" s="82"/>
      <c r="L5" s="82"/>
      <c r="M5" s="82"/>
      <c r="N5" s="82"/>
      <c r="O5" s="82"/>
      <c r="P5" s="82"/>
      <c r="Q5" s="82"/>
      <c r="R5" s="82"/>
      <c r="S5" s="82"/>
      <c r="T5" s="82"/>
      <c r="U5" s="82"/>
      <c r="V5" s="82"/>
      <c r="W5" s="82"/>
      <c r="X5" s="82"/>
      <c r="Y5" s="82"/>
    </row>
    <row r="6" spans="2:31" ht="15" x14ac:dyDescent="0.2">
      <c r="C6" s="1"/>
      <c r="D6" s="1"/>
      <c r="E6" s="82"/>
      <c r="F6" s="82"/>
      <c r="G6" s="82"/>
      <c r="H6" s="82"/>
      <c r="I6" s="82"/>
      <c r="J6" s="82"/>
      <c r="K6" s="82"/>
      <c r="L6" s="82"/>
      <c r="M6" s="82"/>
      <c r="N6" s="82"/>
      <c r="O6" s="82"/>
      <c r="P6" s="82"/>
      <c r="Q6" s="82"/>
      <c r="R6" s="82"/>
      <c r="S6" s="82"/>
      <c r="T6" s="82"/>
      <c r="U6" s="82"/>
      <c r="V6" s="82"/>
      <c r="W6" s="82"/>
      <c r="X6" s="82"/>
      <c r="Y6" s="82"/>
    </row>
    <row r="7" spans="2:31" ht="3" customHeight="1" x14ac:dyDescent="0.25">
      <c r="C7" s="1"/>
      <c r="D7" s="120"/>
      <c r="E7" s="82"/>
      <c r="F7" s="115"/>
      <c r="G7" s="82"/>
      <c r="H7" s="82"/>
      <c r="I7" s="82"/>
      <c r="J7" s="82"/>
      <c r="K7" s="82"/>
      <c r="L7" s="82"/>
      <c r="M7" s="82"/>
      <c r="N7" s="82"/>
      <c r="O7" s="82"/>
      <c r="P7" s="82"/>
      <c r="Q7" s="82"/>
      <c r="R7" s="82"/>
      <c r="S7" s="82"/>
      <c r="T7" s="82"/>
      <c r="U7" s="82"/>
      <c r="V7" s="82"/>
      <c r="W7" s="82"/>
      <c r="X7" s="82"/>
      <c r="Y7" s="82"/>
    </row>
    <row r="8" spans="2:31" ht="26.25" x14ac:dyDescent="0.4">
      <c r="C8" s="1"/>
      <c r="D8" s="156"/>
      <c r="E8" s="361" t="s">
        <v>92</v>
      </c>
      <c r="F8" s="361"/>
      <c r="G8" s="361"/>
      <c r="H8" s="361"/>
      <c r="I8" s="361"/>
      <c r="J8" s="361"/>
      <c r="K8" s="361"/>
      <c r="L8" s="361"/>
      <c r="M8" s="361"/>
      <c r="N8" s="82"/>
      <c r="O8" s="82"/>
      <c r="P8" s="82"/>
      <c r="Q8" s="82"/>
      <c r="R8" s="82"/>
      <c r="S8" s="82"/>
      <c r="T8" s="82"/>
      <c r="U8" s="82"/>
      <c r="V8" s="82"/>
      <c r="W8" s="82"/>
      <c r="X8" s="82"/>
      <c r="Y8" s="82"/>
    </row>
    <row r="9" spans="2:31" ht="33" customHeight="1" x14ac:dyDescent="0.35">
      <c r="C9" s="1"/>
      <c r="D9" s="120"/>
      <c r="E9" s="345" t="s">
        <v>93</v>
      </c>
      <c r="F9" s="345"/>
      <c r="G9" s="150"/>
      <c r="H9" s="150"/>
      <c r="I9" s="150"/>
      <c r="J9" s="150"/>
      <c r="K9" s="150"/>
      <c r="L9" s="150"/>
      <c r="M9" s="150"/>
      <c r="N9" s="150"/>
      <c r="O9" s="82"/>
      <c r="P9" s="82"/>
      <c r="Q9" s="82"/>
      <c r="R9" s="82"/>
      <c r="S9" s="82"/>
      <c r="T9" s="82"/>
      <c r="U9" s="82"/>
      <c r="V9" s="82"/>
      <c r="W9" s="82"/>
      <c r="X9" s="82"/>
      <c r="Y9" s="82"/>
    </row>
    <row r="10" spans="2:31" ht="16.5" customHeight="1" x14ac:dyDescent="0.25">
      <c r="C10" s="1"/>
      <c r="D10" s="120"/>
      <c r="E10" s="160"/>
      <c r="F10" s="115"/>
      <c r="G10" s="82"/>
      <c r="H10" s="82"/>
      <c r="I10" s="82"/>
      <c r="J10" s="82"/>
      <c r="K10" s="82"/>
      <c r="L10" s="82"/>
      <c r="M10" s="82"/>
      <c r="N10" s="82"/>
      <c r="O10" s="82"/>
      <c r="P10" s="82"/>
      <c r="Q10" s="82"/>
      <c r="R10" s="82"/>
      <c r="S10" s="82"/>
      <c r="T10" s="82"/>
      <c r="U10" s="82"/>
      <c r="V10" s="82"/>
      <c r="W10" s="82"/>
      <c r="X10" s="82"/>
      <c r="Y10" s="82"/>
    </row>
    <row r="11" spans="2:31" ht="12.75" customHeight="1" x14ac:dyDescent="0.2">
      <c r="C11" s="1"/>
      <c r="D11" s="120"/>
      <c r="E11" s="341" t="s">
        <v>198</v>
      </c>
      <c r="F11" s="341"/>
      <c r="G11" s="341"/>
      <c r="H11" s="341"/>
      <c r="I11" s="341"/>
      <c r="J11" s="341"/>
      <c r="K11" s="341"/>
      <c r="L11" s="341"/>
      <c r="M11" s="341"/>
      <c r="N11" s="341"/>
      <c r="O11" s="341"/>
      <c r="P11" s="341"/>
      <c r="Q11" s="341"/>
      <c r="R11" s="341"/>
      <c r="S11" s="341"/>
      <c r="T11" s="341"/>
      <c r="U11" s="341"/>
      <c r="V11" s="341"/>
      <c r="W11" s="341"/>
      <c r="X11" s="341"/>
      <c r="Y11" s="341"/>
      <c r="Z11" s="341"/>
      <c r="AA11" s="341"/>
      <c r="AB11" s="341"/>
      <c r="AC11" s="341"/>
      <c r="AD11" s="341"/>
      <c r="AE11" s="222"/>
    </row>
    <row r="12" spans="2:31" ht="13.5" customHeight="1" x14ac:dyDescent="0.2">
      <c r="C12" s="1"/>
      <c r="D12" s="134"/>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222"/>
    </row>
    <row r="13" spans="2:31" ht="19.5" customHeight="1" x14ac:dyDescent="0.2">
      <c r="C13" s="1"/>
      <c r="D13" s="120"/>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222"/>
    </row>
    <row r="14" spans="2:31" ht="17.25" customHeight="1" x14ac:dyDescent="0.25">
      <c r="C14" s="1"/>
      <c r="D14" s="120"/>
      <c r="E14" s="161"/>
      <c r="F14" s="115"/>
      <c r="G14" s="82"/>
      <c r="H14" s="82"/>
      <c r="I14" s="82"/>
      <c r="J14" s="82"/>
      <c r="K14" s="82"/>
      <c r="L14" s="82"/>
      <c r="M14" s="82"/>
      <c r="N14" s="82"/>
      <c r="O14" s="82"/>
      <c r="P14" s="82"/>
      <c r="Q14" s="82"/>
      <c r="R14" s="82"/>
      <c r="S14" s="82"/>
      <c r="T14" s="82"/>
      <c r="U14" s="82"/>
      <c r="V14" s="82"/>
      <c r="W14" s="82"/>
      <c r="X14" s="82"/>
      <c r="Y14" s="82"/>
    </row>
    <row r="15" spans="2:31" ht="17.25" customHeight="1" x14ac:dyDescent="0.2">
      <c r="C15" s="1"/>
      <c r="D15" s="120"/>
      <c r="E15" s="341" t="s">
        <v>195</v>
      </c>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row>
    <row r="16" spans="2:31" ht="17.25" customHeight="1" x14ac:dyDescent="0.2">
      <c r="C16" s="1"/>
      <c r="D16" s="120"/>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row>
    <row r="17" spans="3:31" ht="17.25" customHeight="1" x14ac:dyDescent="0.2">
      <c r="C17" s="1"/>
      <c r="D17" s="120"/>
      <c r="E17" s="342" t="s">
        <v>196</v>
      </c>
      <c r="F17" s="342"/>
      <c r="G17" s="342"/>
      <c r="H17" s="342"/>
      <c r="I17" s="342"/>
      <c r="J17" s="342"/>
      <c r="K17" s="342"/>
      <c r="L17" s="342"/>
      <c r="M17" s="342"/>
      <c r="N17" s="342"/>
      <c r="O17" s="342"/>
      <c r="P17" s="342"/>
      <c r="Q17" s="342"/>
      <c r="R17" s="342"/>
      <c r="S17" s="342"/>
      <c r="T17" s="342"/>
      <c r="U17" s="342"/>
      <c r="V17" s="342"/>
      <c r="W17" s="342"/>
      <c r="X17" s="342"/>
      <c r="Y17" s="342"/>
      <c r="Z17" s="342"/>
      <c r="AA17" s="342"/>
      <c r="AB17" s="342"/>
      <c r="AC17" s="342"/>
      <c r="AD17" s="342"/>
    </row>
    <row r="18" spans="3:31" ht="17.25" customHeight="1" x14ac:dyDescent="0.2">
      <c r="C18" s="1"/>
      <c r="D18" s="120"/>
      <c r="E18" s="223"/>
      <c r="F18" s="223"/>
      <c r="G18" s="223"/>
      <c r="H18" s="223"/>
      <c r="I18" s="223"/>
      <c r="J18" s="223"/>
      <c r="K18" s="223"/>
      <c r="L18" s="223"/>
      <c r="M18" s="223"/>
      <c r="N18" s="223"/>
      <c r="O18" s="223"/>
      <c r="P18" s="223"/>
      <c r="Q18" s="223"/>
      <c r="R18" s="223"/>
      <c r="S18" s="223"/>
      <c r="T18" s="223"/>
      <c r="U18" s="223"/>
      <c r="V18" s="223"/>
      <c r="W18" s="223"/>
      <c r="X18" s="223"/>
      <c r="Y18" s="223"/>
      <c r="Z18" s="223"/>
      <c r="AA18" s="223"/>
      <c r="AB18" s="223"/>
      <c r="AC18" s="223"/>
      <c r="AD18" s="223"/>
    </row>
    <row r="19" spans="3:31" ht="15" customHeight="1" x14ac:dyDescent="0.2">
      <c r="C19" s="1"/>
      <c r="D19" s="120"/>
      <c r="E19" s="356" t="s">
        <v>160</v>
      </c>
      <c r="F19" s="357"/>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c r="AD19" s="358"/>
    </row>
    <row r="20" spans="3:31" ht="13.5" customHeight="1" x14ac:dyDescent="0.2">
      <c r="C20" s="1"/>
      <c r="D20" s="120"/>
      <c r="E20" s="359"/>
      <c r="F20" s="341"/>
      <c r="G20" s="341"/>
      <c r="H20" s="341"/>
      <c r="I20" s="341"/>
      <c r="J20" s="341"/>
      <c r="K20" s="341"/>
      <c r="L20" s="341"/>
      <c r="M20" s="341"/>
      <c r="N20" s="341"/>
      <c r="O20" s="341"/>
      <c r="P20" s="341"/>
      <c r="Q20" s="341"/>
      <c r="R20" s="341"/>
      <c r="S20" s="341"/>
      <c r="T20" s="341"/>
      <c r="U20" s="341"/>
      <c r="V20" s="341"/>
      <c r="W20" s="341"/>
      <c r="X20" s="341"/>
      <c r="Y20" s="341"/>
      <c r="Z20" s="341"/>
      <c r="AA20" s="341"/>
      <c r="AB20" s="341"/>
      <c r="AC20" s="341"/>
      <c r="AD20" s="360"/>
      <c r="AE20" s="162"/>
    </row>
    <row r="21" spans="3:31" ht="14.25" customHeight="1" x14ac:dyDescent="0.2">
      <c r="C21" s="1"/>
      <c r="D21" s="120"/>
      <c r="E21" s="359"/>
      <c r="F21" s="341"/>
      <c r="G21" s="341"/>
      <c r="H21" s="341"/>
      <c r="I21" s="341"/>
      <c r="J21" s="341"/>
      <c r="K21" s="341"/>
      <c r="L21" s="341"/>
      <c r="M21" s="341"/>
      <c r="N21" s="341"/>
      <c r="O21" s="341"/>
      <c r="P21" s="341"/>
      <c r="Q21" s="341"/>
      <c r="R21" s="341"/>
      <c r="S21" s="341"/>
      <c r="T21" s="341"/>
      <c r="U21" s="341"/>
      <c r="V21" s="341"/>
      <c r="W21" s="341"/>
      <c r="X21" s="341"/>
      <c r="Y21" s="341"/>
      <c r="Z21" s="341"/>
      <c r="AA21" s="341"/>
      <c r="AB21" s="341"/>
      <c r="AC21" s="341"/>
      <c r="AD21" s="360"/>
      <c r="AE21" s="162"/>
    </row>
    <row r="22" spans="3:31" ht="0.75" customHeight="1" x14ac:dyDescent="0.2">
      <c r="C22" s="1"/>
      <c r="D22" s="120"/>
      <c r="E22" s="346" t="s">
        <v>270</v>
      </c>
      <c r="F22" s="347"/>
      <c r="G22" s="347"/>
      <c r="H22" s="347"/>
      <c r="I22" s="347"/>
      <c r="J22" s="347"/>
      <c r="K22" s="347"/>
      <c r="L22" s="347"/>
      <c r="M22" s="347"/>
      <c r="N22" s="347"/>
      <c r="O22" s="347"/>
      <c r="P22" s="347"/>
      <c r="Q22" s="347"/>
      <c r="R22" s="347"/>
      <c r="S22" s="347"/>
      <c r="T22" s="347"/>
      <c r="U22" s="347"/>
      <c r="V22" s="347"/>
      <c r="W22" s="347"/>
      <c r="X22" s="347"/>
      <c r="Y22" s="347"/>
      <c r="Z22" s="347"/>
      <c r="AA22" s="347"/>
      <c r="AB22" s="347"/>
      <c r="AC22" s="347"/>
      <c r="AD22" s="338"/>
      <c r="AE22" s="162"/>
    </row>
    <row r="23" spans="3:31" ht="14.25" customHeight="1" x14ac:dyDescent="0.2">
      <c r="C23" s="1"/>
      <c r="D23" s="120"/>
      <c r="E23" s="346"/>
      <c r="F23" s="347"/>
      <c r="G23" s="347"/>
      <c r="H23" s="347"/>
      <c r="I23" s="347"/>
      <c r="J23" s="347"/>
      <c r="K23" s="347"/>
      <c r="L23" s="347"/>
      <c r="M23" s="347"/>
      <c r="N23" s="347"/>
      <c r="O23" s="347"/>
      <c r="P23" s="347"/>
      <c r="Q23" s="347"/>
      <c r="R23" s="347"/>
      <c r="S23" s="347"/>
      <c r="T23" s="347"/>
      <c r="U23" s="347"/>
      <c r="V23" s="347"/>
      <c r="W23" s="347"/>
      <c r="X23" s="347"/>
      <c r="Y23" s="347"/>
      <c r="Z23" s="347"/>
      <c r="AA23" s="347"/>
      <c r="AB23" s="347"/>
      <c r="AC23" s="347"/>
      <c r="AD23" s="338"/>
      <c r="AE23" s="162"/>
    </row>
    <row r="24" spans="3:31" ht="14.25" customHeight="1" x14ac:dyDescent="0.2">
      <c r="C24" s="1"/>
      <c r="D24" s="120"/>
      <c r="E24" s="346"/>
      <c r="F24" s="347"/>
      <c r="G24" s="347"/>
      <c r="H24" s="347"/>
      <c r="I24" s="347"/>
      <c r="J24" s="347"/>
      <c r="K24" s="347"/>
      <c r="L24" s="347"/>
      <c r="M24" s="347"/>
      <c r="N24" s="347"/>
      <c r="O24" s="347"/>
      <c r="P24" s="347"/>
      <c r="Q24" s="347"/>
      <c r="R24" s="347"/>
      <c r="S24" s="347"/>
      <c r="T24" s="347"/>
      <c r="U24" s="347"/>
      <c r="V24" s="347"/>
      <c r="W24" s="347"/>
      <c r="X24" s="347"/>
      <c r="Y24" s="347"/>
      <c r="Z24" s="347"/>
      <c r="AA24" s="347"/>
      <c r="AB24" s="347"/>
      <c r="AC24" s="347"/>
      <c r="AD24" s="338"/>
      <c r="AE24" s="162"/>
    </row>
    <row r="25" spans="3:31" ht="14.25" customHeight="1" x14ac:dyDescent="0.2">
      <c r="C25" s="1"/>
      <c r="D25" s="120"/>
      <c r="E25" s="346" t="s">
        <v>271</v>
      </c>
      <c r="F25" s="347"/>
      <c r="G25" s="347"/>
      <c r="H25" s="347"/>
      <c r="I25" s="347"/>
      <c r="J25" s="347"/>
      <c r="K25" s="347"/>
      <c r="L25" s="347"/>
      <c r="M25" s="347"/>
      <c r="N25" s="347"/>
      <c r="O25" s="347"/>
      <c r="P25" s="347"/>
      <c r="Q25" s="347"/>
      <c r="R25" s="347"/>
      <c r="S25" s="347"/>
      <c r="T25" s="347"/>
      <c r="U25" s="347"/>
      <c r="V25" s="347"/>
      <c r="W25" s="347"/>
      <c r="X25" s="347"/>
      <c r="Y25" s="347"/>
      <c r="Z25" s="347"/>
      <c r="AA25" s="347"/>
      <c r="AB25" s="347"/>
      <c r="AC25" s="347"/>
      <c r="AD25" s="338"/>
      <c r="AE25" s="162"/>
    </row>
    <row r="26" spans="3:31" ht="14.25" customHeight="1" x14ac:dyDescent="0.2">
      <c r="C26" s="1"/>
      <c r="D26" s="120"/>
      <c r="E26" s="346"/>
      <c r="F26" s="347"/>
      <c r="G26" s="347"/>
      <c r="H26" s="347"/>
      <c r="I26" s="347"/>
      <c r="J26" s="347"/>
      <c r="K26" s="347"/>
      <c r="L26" s="347"/>
      <c r="M26" s="347"/>
      <c r="N26" s="347"/>
      <c r="O26" s="347"/>
      <c r="P26" s="347"/>
      <c r="Q26" s="347"/>
      <c r="R26" s="347"/>
      <c r="S26" s="347"/>
      <c r="T26" s="347"/>
      <c r="U26" s="347"/>
      <c r="V26" s="347"/>
      <c r="W26" s="347"/>
      <c r="X26" s="347"/>
      <c r="Y26" s="347"/>
      <c r="Z26" s="347"/>
      <c r="AA26" s="347"/>
      <c r="AB26" s="347"/>
      <c r="AC26" s="347"/>
      <c r="AD26" s="338"/>
      <c r="AE26" s="162"/>
    </row>
    <row r="27" spans="3:31" ht="14.25" customHeight="1" x14ac:dyDescent="0.2">
      <c r="C27" s="1"/>
      <c r="D27" s="120"/>
      <c r="E27" s="348"/>
      <c r="F27" s="349"/>
      <c r="G27" s="349"/>
      <c r="H27" s="349"/>
      <c r="I27" s="349"/>
      <c r="J27" s="349"/>
      <c r="K27" s="349"/>
      <c r="L27" s="349"/>
      <c r="M27" s="349"/>
      <c r="N27" s="349"/>
      <c r="O27" s="349"/>
      <c r="P27" s="349"/>
      <c r="Q27" s="349"/>
      <c r="R27" s="349"/>
      <c r="S27" s="349"/>
      <c r="T27" s="349"/>
      <c r="U27" s="349"/>
      <c r="V27" s="349"/>
      <c r="W27" s="349"/>
      <c r="X27" s="349"/>
      <c r="Y27" s="349"/>
      <c r="Z27" s="349"/>
      <c r="AA27" s="349"/>
      <c r="AB27" s="349"/>
      <c r="AC27" s="349"/>
      <c r="AD27" s="339"/>
      <c r="AE27" s="162"/>
    </row>
    <row r="28" spans="3:31" ht="14.25" customHeight="1" x14ac:dyDescent="0.2">
      <c r="C28" s="1"/>
      <c r="D28" s="120"/>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214"/>
      <c r="AE28" s="162"/>
    </row>
    <row r="29" spans="3:31" ht="15" customHeight="1" x14ac:dyDescent="0.2">
      <c r="C29" s="1"/>
      <c r="D29" s="1"/>
      <c r="E29" s="341" t="s">
        <v>211</v>
      </c>
      <c r="F29" s="341"/>
      <c r="G29" s="341"/>
      <c r="H29" s="341"/>
      <c r="I29" s="341"/>
      <c r="J29" s="341"/>
      <c r="K29" s="341"/>
      <c r="L29" s="341"/>
      <c r="M29" s="341"/>
      <c r="N29" s="341"/>
      <c r="O29" s="341"/>
      <c r="P29" s="341"/>
      <c r="Q29" s="341"/>
      <c r="R29" s="341"/>
      <c r="S29" s="341"/>
      <c r="T29" s="341"/>
      <c r="U29" s="341"/>
      <c r="V29" s="341"/>
      <c r="W29" s="341"/>
      <c r="X29" s="341"/>
      <c r="Y29" s="341"/>
      <c r="Z29" s="341"/>
      <c r="AA29" s="341"/>
      <c r="AB29" s="341"/>
      <c r="AC29" s="341"/>
      <c r="AD29" s="341"/>
      <c r="AE29" s="224"/>
    </row>
    <row r="30" spans="3:31" ht="15" customHeight="1" x14ac:dyDescent="0.2">
      <c r="C30" s="1"/>
      <c r="D30" s="1"/>
      <c r="E30" s="341"/>
      <c r="F30" s="341"/>
      <c r="G30" s="341"/>
      <c r="H30" s="341"/>
      <c r="I30" s="341"/>
      <c r="J30" s="341"/>
      <c r="K30" s="341"/>
      <c r="L30" s="341"/>
      <c r="M30" s="341"/>
      <c r="N30" s="341"/>
      <c r="O30" s="341"/>
      <c r="P30" s="341"/>
      <c r="Q30" s="341"/>
      <c r="R30" s="341"/>
      <c r="S30" s="341"/>
      <c r="T30" s="341"/>
      <c r="U30" s="341"/>
      <c r="V30" s="341"/>
      <c r="W30" s="341"/>
      <c r="X30" s="341"/>
      <c r="Y30" s="341"/>
      <c r="Z30" s="341"/>
      <c r="AA30" s="341"/>
      <c r="AB30" s="341"/>
      <c r="AC30" s="341"/>
      <c r="AD30" s="341"/>
      <c r="AE30" s="224"/>
    </row>
    <row r="31" spans="3:31" ht="15" customHeight="1" x14ac:dyDescent="0.2">
      <c r="C31" s="1"/>
      <c r="D31" s="1"/>
      <c r="E31" s="341"/>
      <c r="F31" s="341"/>
      <c r="G31" s="341"/>
      <c r="H31" s="341"/>
      <c r="I31" s="341"/>
      <c r="J31" s="341"/>
      <c r="K31" s="341"/>
      <c r="L31" s="341"/>
      <c r="M31" s="341"/>
      <c r="N31" s="341"/>
      <c r="O31" s="341"/>
      <c r="P31" s="341"/>
      <c r="Q31" s="341"/>
      <c r="R31" s="341"/>
      <c r="S31" s="341"/>
      <c r="T31" s="341"/>
      <c r="U31" s="341"/>
      <c r="V31" s="341"/>
      <c r="W31" s="341"/>
      <c r="X31" s="341"/>
      <c r="Y31" s="341"/>
      <c r="Z31" s="341"/>
      <c r="AA31" s="341"/>
      <c r="AB31" s="341"/>
      <c r="AC31" s="341"/>
      <c r="AD31" s="341"/>
      <c r="AE31" s="154"/>
    </row>
    <row r="32" spans="3:31" ht="15" customHeight="1" x14ac:dyDescent="0.2">
      <c r="C32" s="1"/>
      <c r="D32" s="1"/>
      <c r="E32" s="214"/>
      <c r="F32" s="214"/>
      <c r="G32" s="214"/>
      <c r="H32" s="214"/>
      <c r="I32" s="214"/>
      <c r="J32" s="214"/>
      <c r="K32" s="214"/>
      <c r="L32" s="214"/>
      <c r="M32" s="214"/>
      <c r="N32" s="214"/>
      <c r="O32" s="214"/>
      <c r="P32" s="214"/>
      <c r="Q32" s="214"/>
      <c r="R32" s="214"/>
      <c r="S32" s="214"/>
      <c r="T32" s="214"/>
      <c r="U32" s="214"/>
      <c r="V32" s="214"/>
      <c r="W32" s="214"/>
      <c r="X32" s="214"/>
      <c r="Y32" s="214"/>
      <c r="Z32" s="214"/>
      <c r="AA32" s="214"/>
      <c r="AB32" s="214"/>
      <c r="AC32" s="214"/>
      <c r="AD32" s="214"/>
      <c r="AE32" s="154"/>
    </row>
    <row r="33" spans="3:31" ht="15.75" customHeight="1" x14ac:dyDescent="0.2">
      <c r="C33" s="1"/>
      <c r="D33" s="1"/>
      <c r="E33" s="341" t="s">
        <v>205</v>
      </c>
      <c r="F33" s="341"/>
      <c r="G33" s="341"/>
      <c r="H33" s="341"/>
      <c r="I33" s="341"/>
      <c r="J33" s="341"/>
      <c r="K33" s="341"/>
      <c r="L33" s="341"/>
      <c r="M33" s="341"/>
      <c r="N33" s="341"/>
      <c r="O33" s="341"/>
      <c r="P33" s="341"/>
      <c r="Q33" s="341"/>
      <c r="R33" s="341"/>
      <c r="S33" s="341"/>
      <c r="T33" s="341"/>
      <c r="U33" s="341"/>
      <c r="V33" s="341"/>
      <c r="W33" s="341"/>
      <c r="X33" s="341"/>
      <c r="Y33" s="341"/>
      <c r="Z33" s="341"/>
      <c r="AA33" s="341"/>
      <c r="AB33" s="341"/>
      <c r="AC33" s="341"/>
      <c r="AD33" s="341"/>
      <c r="AE33" s="154"/>
    </row>
    <row r="34" spans="3:31" ht="17.100000000000001" customHeight="1" x14ac:dyDescent="0.2">
      <c r="C34" s="1"/>
      <c r="D34" s="1"/>
      <c r="E34" s="341" t="s">
        <v>207</v>
      </c>
      <c r="F34" s="341"/>
      <c r="G34" s="341"/>
      <c r="H34" s="341"/>
      <c r="I34" s="341"/>
      <c r="J34" s="341"/>
      <c r="K34" s="341"/>
      <c r="L34" s="341"/>
      <c r="M34" s="341"/>
      <c r="N34" s="341"/>
      <c r="O34" s="341"/>
      <c r="P34" s="341"/>
      <c r="Q34" s="341"/>
      <c r="R34" s="341"/>
      <c r="S34" s="341"/>
      <c r="T34" s="341"/>
      <c r="U34" s="341"/>
      <c r="V34" s="341"/>
      <c r="W34" s="341"/>
      <c r="X34" s="341"/>
      <c r="Y34" s="341"/>
      <c r="Z34" s="341"/>
      <c r="AA34" s="341"/>
      <c r="AB34" s="341"/>
      <c r="AC34" s="341"/>
      <c r="AD34" s="341"/>
      <c r="AE34" s="341"/>
    </row>
    <row r="35" spans="3:31" ht="24.75" customHeight="1" x14ac:dyDescent="0.2">
      <c r="C35" s="1"/>
      <c r="D35" s="1"/>
      <c r="E35" s="341" t="s">
        <v>200</v>
      </c>
      <c r="F35" s="341"/>
      <c r="G35" s="341"/>
      <c r="H35" s="341"/>
      <c r="I35" s="341"/>
      <c r="J35" s="341"/>
      <c r="K35" s="341"/>
      <c r="L35" s="341"/>
      <c r="M35" s="341"/>
      <c r="N35" s="341"/>
      <c r="O35" s="341"/>
      <c r="P35" s="341"/>
      <c r="Q35" s="341"/>
      <c r="R35" s="341"/>
      <c r="S35" s="341"/>
      <c r="T35" s="341"/>
      <c r="U35" s="341"/>
      <c r="V35" s="341"/>
      <c r="W35" s="341"/>
      <c r="X35" s="341"/>
      <c r="Y35" s="341"/>
      <c r="Z35" s="341"/>
      <c r="AA35" s="341"/>
      <c r="AB35" s="341"/>
      <c r="AC35" s="341"/>
      <c r="AD35" s="341"/>
      <c r="AE35" s="341"/>
    </row>
    <row r="36" spans="3:31" ht="19.5" customHeight="1" x14ac:dyDescent="0.2">
      <c r="C36" s="1"/>
      <c r="D36" s="1"/>
      <c r="E36" s="341"/>
      <c r="F36" s="341"/>
      <c r="G36" s="341"/>
      <c r="H36" s="341"/>
      <c r="I36" s="341"/>
      <c r="J36" s="341"/>
      <c r="K36" s="341"/>
      <c r="L36" s="341"/>
      <c r="M36" s="341"/>
      <c r="N36" s="341"/>
      <c r="O36" s="341"/>
      <c r="P36" s="341"/>
      <c r="Q36" s="341"/>
      <c r="R36" s="341"/>
      <c r="S36" s="341"/>
      <c r="T36" s="341"/>
      <c r="U36" s="341"/>
      <c r="V36" s="341"/>
      <c r="W36" s="341"/>
      <c r="X36" s="341"/>
      <c r="Y36" s="341"/>
      <c r="Z36" s="341"/>
      <c r="AA36" s="341"/>
      <c r="AB36" s="341"/>
      <c r="AC36" s="341"/>
      <c r="AD36" s="341"/>
      <c r="AE36" s="341"/>
    </row>
    <row r="37" spans="3:31" ht="18" customHeight="1" x14ac:dyDescent="0.2">
      <c r="C37" s="1"/>
      <c r="D37" s="1"/>
      <c r="E37" s="341" t="s">
        <v>201</v>
      </c>
      <c r="F37" s="341"/>
      <c r="G37" s="341"/>
      <c r="H37" s="341"/>
      <c r="I37" s="341"/>
      <c r="J37" s="341"/>
      <c r="K37" s="341"/>
      <c r="L37" s="341"/>
      <c r="M37" s="341"/>
      <c r="N37" s="341"/>
      <c r="O37" s="341"/>
      <c r="P37" s="341"/>
      <c r="Q37" s="341"/>
      <c r="R37" s="341"/>
      <c r="S37" s="341"/>
      <c r="T37" s="341"/>
      <c r="U37" s="341"/>
      <c r="V37" s="341"/>
      <c r="W37" s="341"/>
      <c r="X37" s="341"/>
      <c r="Y37" s="341"/>
      <c r="Z37" s="341"/>
      <c r="AA37" s="341"/>
      <c r="AB37" s="341"/>
      <c r="AC37" s="341"/>
      <c r="AD37" s="341"/>
      <c r="AE37" s="341"/>
    </row>
    <row r="38" spans="3:31" ht="15.95" customHeight="1" x14ac:dyDescent="0.2">
      <c r="C38" s="1"/>
      <c r="D38" s="1"/>
      <c r="E38" s="341" t="s">
        <v>194</v>
      </c>
      <c r="F38" s="341"/>
      <c r="G38" s="341"/>
      <c r="H38" s="341"/>
      <c r="I38" s="341"/>
      <c r="J38" s="341"/>
      <c r="K38" s="341"/>
      <c r="L38" s="341"/>
      <c r="M38" s="341"/>
      <c r="N38" s="341"/>
      <c r="O38" s="341"/>
      <c r="P38" s="341"/>
      <c r="Q38" s="341"/>
      <c r="R38" s="341"/>
      <c r="S38" s="341"/>
      <c r="T38" s="341"/>
      <c r="U38" s="341"/>
      <c r="V38" s="341"/>
      <c r="W38" s="341"/>
      <c r="X38" s="341"/>
      <c r="Y38" s="341"/>
      <c r="Z38" s="341"/>
      <c r="AA38" s="341"/>
      <c r="AB38" s="341"/>
      <c r="AC38" s="341"/>
      <c r="AD38" s="341"/>
      <c r="AE38" s="154"/>
    </row>
    <row r="39" spans="3:31" ht="15.95" customHeight="1" x14ac:dyDescent="0.2">
      <c r="C39" s="1"/>
      <c r="D39" s="1"/>
      <c r="E39" s="214"/>
      <c r="F39" s="214"/>
      <c r="G39" s="214"/>
      <c r="H39" s="214"/>
      <c r="I39" s="214"/>
      <c r="J39" s="214"/>
      <c r="K39" s="214"/>
      <c r="L39" s="214"/>
      <c r="M39" s="214"/>
      <c r="N39" s="214"/>
      <c r="O39" s="214"/>
      <c r="P39" s="214"/>
      <c r="Q39" s="214"/>
      <c r="R39" s="214"/>
      <c r="S39" s="214"/>
      <c r="T39" s="214"/>
      <c r="U39" s="214"/>
      <c r="V39" s="214"/>
      <c r="W39" s="214"/>
      <c r="X39" s="214"/>
      <c r="Y39" s="214"/>
      <c r="Z39" s="214"/>
      <c r="AA39" s="214"/>
      <c r="AB39" s="214"/>
      <c r="AC39" s="214"/>
      <c r="AD39" s="214"/>
      <c r="AE39" s="154"/>
    </row>
    <row r="40" spans="3:31" ht="15" customHeight="1" x14ac:dyDescent="0.2">
      <c r="C40" s="1"/>
      <c r="D40" s="1"/>
      <c r="E40" s="341" t="s">
        <v>202</v>
      </c>
      <c r="F40" s="341"/>
      <c r="G40" s="341"/>
      <c r="H40" s="341"/>
      <c r="I40" s="341"/>
      <c r="J40" s="341"/>
      <c r="K40" s="341"/>
      <c r="L40" s="341"/>
      <c r="M40" s="341"/>
      <c r="N40" s="341"/>
      <c r="O40" s="341"/>
      <c r="P40" s="341"/>
      <c r="Q40" s="341"/>
      <c r="R40" s="341"/>
      <c r="S40" s="341"/>
      <c r="T40" s="341"/>
      <c r="U40" s="341"/>
      <c r="V40" s="341"/>
      <c r="W40" s="341"/>
      <c r="X40" s="341"/>
      <c r="Y40" s="341"/>
      <c r="Z40" s="341"/>
      <c r="AA40" s="341"/>
      <c r="AB40" s="341"/>
      <c r="AC40" s="341"/>
      <c r="AD40" s="341"/>
      <c r="AE40" s="154"/>
    </row>
    <row r="41" spans="3:31" ht="15" customHeight="1" x14ac:dyDescent="0.2">
      <c r="C41" s="1"/>
      <c r="D41" s="1"/>
      <c r="E41" s="214"/>
      <c r="F41" s="214"/>
      <c r="G41" s="214"/>
      <c r="H41" s="214"/>
      <c r="I41" s="214"/>
      <c r="J41" s="214"/>
      <c r="K41" s="214"/>
      <c r="L41" s="214"/>
      <c r="M41" s="214"/>
      <c r="N41" s="214"/>
      <c r="O41" s="214"/>
      <c r="P41" s="214"/>
      <c r="Q41" s="214"/>
      <c r="R41" s="214"/>
      <c r="S41" s="214"/>
      <c r="T41" s="214"/>
      <c r="U41" s="214"/>
      <c r="V41" s="214"/>
      <c r="W41" s="214"/>
      <c r="X41" s="214"/>
      <c r="Y41" s="214"/>
      <c r="Z41" s="214"/>
      <c r="AA41" s="214"/>
      <c r="AB41" s="214"/>
      <c r="AC41" s="214"/>
      <c r="AD41" s="214"/>
      <c r="AE41" s="154"/>
    </row>
    <row r="42" spans="3:31" ht="15" customHeight="1" x14ac:dyDescent="0.2">
      <c r="C42" s="1"/>
      <c r="D42" s="1"/>
      <c r="E42" s="341" t="s">
        <v>210</v>
      </c>
      <c r="F42" s="341"/>
      <c r="G42" s="341"/>
      <c r="H42" s="341"/>
      <c r="I42" s="341"/>
      <c r="J42" s="341"/>
      <c r="K42" s="341"/>
      <c r="L42" s="341"/>
      <c r="M42" s="341"/>
      <c r="N42" s="341"/>
      <c r="O42" s="341"/>
      <c r="P42" s="341"/>
      <c r="Q42" s="341"/>
      <c r="R42" s="341"/>
      <c r="S42" s="341"/>
      <c r="T42" s="341"/>
      <c r="U42" s="341"/>
      <c r="V42" s="341"/>
      <c r="W42" s="341"/>
      <c r="X42" s="341"/>
      <c r="Y42" s="341"/>
      <c r="Z42" s="341"/>
      <c r="AA42" s="341"/>
      <c r="AB42" s="341"/>
      <c r="AC42" s="341"/>
      <c r="AD42" s="341"/>
      <c r="AE42" s="341"/>
    </row>
    <row r="43" spans="3:31" ht="15" customHeight="1" x14ac:dyDescent="0.2">
      <c r="C43" s="1"/>
      <c r="D43" s="1"/>
      <c r="E43" s="341" t="s">
        <v>203</v>
      </c>
      <c r="F43" s="341"/>
      <c r="G43" s="222"/>
      <c r="H43" s="342" t="s">
        <v>204</v>
      </c>
      <c r="I43" s="342"/>
      <c r="J43" s="342"/>
      <c r="K43" s="342"/>
      <c r="L43" s="342"/>
      <c r="M43" s="342"/>
      <c r="N43" s="342"/>
      <c r="O43" s="342"/>
      <c r="P43" s="342"/>
      <c r="Q43" s="342"/>
      <c r="R43" s="342"/>
      <c r="S43" s="342"/>
      <c r="T43" s="342"/>
      <c r="U43" s="342"/>
      <c r="V43" s="342"/>
      <c r="W43" s="342"/>
      <c r="X43" s="342"/>
      <c r="Y43" s="342"/>
      <c r="Z43" s="342"/>
      <c r="AA43" s="342"/>
      <c r="AB43" s="342"/>
      <c r="AC43" s="342"/>
      <c r="AD43" s="342"/>
      <c r="AE43" s="222"/>
    </row>
    <row r="44" spans="3:31" ht="15" customHeight="1" x14ac:dyDescent="0.25">
      <c r="C44" s="1"/>
      <c r="D44" s="1"/>
      <c r="E44" s="215"/>
      <c r="F44" s="14"/>
      <c r="G44"/>
      <c r="H44" s="214"/>
      <c r="I44" s="214"/>
      <c r="J44" s="214"/>
      <c r="K44" s="214"/>
      <c r="L44" s="214"/>
      <c r="M44" s="214"/>
      <c r="N44" s="214"/>
      <c r="O44" s="214"/>
      <c r="P44" s="214"/>
      <c r="Q44" s="214"/>
      <c r="R44" s="214"/>
      <c r="S44" s="214"/>
      <c r="T44" s="214"/>
      <c r="U44" s="214"/>
      <c r="V44" s="214"/>
      <c r="W44" s="214"/>
      <c r="X44" s="214"/>
      <c r="Y44" s="214"/>
      <c r="Z44" s="214"/>
      <c r="AA44" s="214"/>
      <c r="AB44" s="214"/>
      <c r="AC44" s="214"/>
      <c r="AD44" s="214"/>
      <c r="AE44" s="154"/>
    </row>
    <row r="45" spans="3:31" ht="15" customHeight="1" x14ac:dyDescent="0.25">
      <c r="C45" s="1"/>
      <c r="D45" s="1"/>
      <c r="E45" s="116" t="s">
        <v>197</v>
      </c>
      <c r="F45" s="14"/>
      <c r="G45"/>
      <c r="H45" s="214"/>
      <c r="I45" s="214"/>
      <c r="J45" s="214"/>
      <c r="K45" s="214"/>
      <c r="L45" s="214"/>
      <c r="M45" s="214"/>
      <c r="N45" s="214"/>
      <c r="O45" s="214"/>
      <c r="P45" s="214"/>
      <c r="Q45" s="214"/>
      <c r="R45" s="214"/>
      <c r="S45" s="214"/>
      <c r="T45" s="214"/>
      <c r="U45" s="214"/>
      <c r="V45" s="214"/>
      <c r="W45" s="214"/>
      <c r="X45" s="214"/>
      <c r="Y45" s="214"/>
      <c r="Z45" s="214"/>
      <c r="AA45" s="214"/>
      <c r="AB45" s="214"/>
      <c r="AC45" s="214"/>
      <c r="AD45" s="214"/>
      <c r="AE45" s="154"/>
    </row>
    <row r="46" spans="3:31" ht="15.75" x14ac:dyDescent="0.25">
      <c r="E46" s="116" t="s">
        <v>206</v>
      </c>
      <c r="F46" s="116"/>
      <c r="G46" s="82"/>
      <c r="H46" s="82"/>
      <c r="I46" s="82"/>
      <c r="J46" s="82"/>
      <c r="K46" s="82"/>
      <c r="L46" s="82"/>
      <c r="M46" s="82"/>
      <c r="N46" s="82"/>
      <c r="O46" s="82"/>
      <c r="P46" s="82"/>
      <c r="Q46" s="82"/>
      <c r="R46" s="82"/>
      <c r="S46" s="82"/>
      <c r="T46" s="82"/>
      <c r="U46" s="82"/>
      <c r="V46" s="82"/>
      <c r="W46" s="107"/>
      <c r="X46" s="107"/>
      <c r="Y46" s="107"/>
      <c r="Z46" s="154"/>
      <c r="AA46" s="154"/>
      <c r="AB46" s="154"/>
      <c r="AC46" s="154"/>
      <c r="AD46" s="154"/>
      <c r="AE46" s="154"/>
    </row>
    <row r="47" spans="3:31" ht="15.75" x14ac:dyDescent="0.25">
      <c r="E47" s="116"/>
      <c r="F47" s="116"/>
      <c r="G47" s="82"/>
      <c r="H47" s="82"/>
      <c r="I47" s="82"/>
      <c r="J47" s="82"/>
      <c r="K47" s="82"/>
      <c r="L47" s="82"/>
      <c r="M47" s="82"/>
      <c r="N47" s="82"/>
      <c r="O47" s="82"/>
      <c r="P47" s="82"/>
      <c r="Q47" s="82"/>
      <c r="R47" s="82"/>
      <c r="S47" s="82"/>
      <c r="T47" s="82"/>
      <c r="U47" s="82"/>
      <c r="V47" s="82"/>
      <c r="W47" s="107"/>
      <c r="X47" s="107"/>
      <c r="Y47" s="107"/>
      <c r="Z47" s="154"/>
      <c r="AA47" s="154"/>
      <c r="AB47" s="154"/>
      <c r="AC47" s="154"/>
      <c r="AD47" s="154"/>
      <c r="AE47" s="154"/>
    </row>
    <row r="48" spans="3:31" ht="18" customHeight="1" x14ac:dyDescent="0.25">
      <c r="C48" s="1"/>
      <c r="D48" s="156"/>
      <c r="E48" s="82" t="s">
        <v>127</v>
      </c>
      <c r="F48" s="82"/>
      <c r="G48" s="82"/>
      <c r="H48" s="82"/>
      <c r="I48" s="82"/>
      <c r="J48" s="82"/>
      <c r="K48" s="82"/>
      <c r="L48" s="82"/>
      <c r="M48" s="82"/>
      <c r="N48" s="82"/>
      <c r="O48" s="82"/>
      <c r="P48" s="82"/>
      <c r="Q48" s="83" t="s">
        <v>79</v>
      </c>
      <c r="R48" s="82" t="s">
        <v>169</v>
      </c>
      <c r="S48" s="82"/>
      <c r="T48" s="116"/>
      <c r="U48" s="163"/>
      <c r="V48" s="82"/>
      <c r="W48" s="82"/>
      <c r="X48" s="107"/>
      <c r="Y48" s="107"/>
      <c r="Z48" s="154"/>
      <c r="AA48" s="154"/>
      <c r="AB48" s="154"/>
      <c r="AC48" s="154"/>
      <c r="AD48" s="154"/>
      <c r="AE48" s="154"/>
    </row>
    <row r="49" spans="2:33" ht="18" customHeight="1" x14ac:dyDescent="0.25">
      <c r="C49" s="1"/>
      <c r="D49" s="156"/>
      <c r="E49" s="82"/>
      <c r="F49" s="82"/>
      <c r="G49" s="82"/>
      <c r="H49" s="82"/>
      <c r="I49" s="82"/>
      <c r="J49" s="82"/>
      <c r="K49" s="82"/>
      <c r="L49" s="82"/>
      <c r="M49" s="82"/>
      <c r="N49" s="82"/>
      <c r="O49" s="82"/>
      <c r="P49" s="82"/>
      <c r="Q49" s="83"/>
      <c r="R49" s="82"/>
      <c r="S49" s="82"/>
      <c r="T49" s="116"/>
      <c r="U49" s="163"/>
      <c r="V49" s="82"/>
      <c r="W49" s="82"/>
      <c r="X49" s="107"/>
      <c r="Y49" s="107"/>
      <c r="Z49" s="154"/>
      <c r="AA49" s="154"/>
      <c r="AB49" s="154"/>
      <c r="AC49" s="154"/>
      <c r="AD49" s="154"/>
      <c r="AE49" s="154"/>
    </row>
    <row r="50" spans="2:33" ht="18" customHeight="1" x14ac:dyDescent="0.25">
      <c r="C50" s="1"/>
      <c r="D50" s="156"/>
      <c r="E50" s="82" t="s">
        <v>259</v>
      </c>
      <c r="F50" s="82"/>
      <c r="G50" s="82"/>
      <c r="H50" s="82"/>
      <c r="I50" s="82"/>
      <c r="J50" s="82"/>
      <c r="K50" s="82"/>
      <c r="L50" s="82"/>
      <c r="M50" s="82"/>
      <c r="N50" s="82"/>
      <c r="O50" s="82"/>
      <c r="P50" s="82"/>
      <c r="Q50" s="83"/>
      <c r="R50" s="82"/>
      <c r="S50" s="82"/>
      <c r="T50" s="116"/>
      <c r="U50" s="163"/>
      <c r="V50" s="82"/>
      <c r="W50" s="82"/>
      <c r="X50" s="107"/>
      <c r="Y50" s="107"/>
      <c r="Z50" s="154"/>
      <c r="AA50" s="154"/>
      <c r="AB50" s="154"/>
      <c r="AC50" s="154"/>
      <c r="AD50" s="154"/>
      <c r="AE50" s="154"/>
    </row>
    <row r="51" spans="2:33" ht="15" x14ac:dyDescent="0.2">
      <c r="C51" s="1"/>
      <c r="D51" s="156"/>
      <c r="E51" s="82" t="s">
        <v>102</v>
      </c>
      <c r="Q51" s="82"/>
      <c r="R51" s="163"/>
      <c r="X51" s="154"/>
      <c r="Y51" s="154"/>
      <c r="Z51" s="154"/>
      <c r="AA51" s="154"/>
      <c r="AB51" s="154"/>
      <c r="AC51" s="154"/>
      <c r="AD51" s="154"/>
      <c r="AE51" s="154"/>
    </row>
    <row r="52" spans="2:33" ht="12" customHeight="1" x14ac:dyDescent="0.2">
      <c r="C52" s="1"/>
      <c r="D52" s="120"/>
      <c r="F52" s="14"/>
      <c r="G52" s="14"/>
    </row>
    <row r="53" spans="2:33" ht="15.75" customHeight="1" x14ac:dyDescent="0.2">
      <c r="C53" s="1"/>
      <c r="D53" s="154"/>
      <c r="E53" s="350" t="s">
        <v>209</v>
      </c>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2"/>
      <c r="AD53" s="154"/>
      <c r="AE53" s="154"/>
    </row>
    <row r="54" spans="2:33" ht="12.75" customHeight="1" x14ac:dyDescent="0.2">
      <c r="C54" s="1"/>
      <c r="D54" s="1"/>
      <c r="E54" s="353"/>
      <c r="F54" s="354"/>
      <c r="G54" s="354"/>
      <c r="H54" s="354"/>
      <c r="I54" s="354"/>
      <c r="J54" s="354"/>
      <c r="K54" s="354"/>
      <c r="L54" s="354"/>
      <c r="M54" s="354"/>
      <c r="N54" s="354"/>
      <c r="O54" s="354"/>
      <c r="P54" s="354"/>
      <c r="Q54" s="354"/>
      <c r="R54" s="354"/>
      <c r="S54" s="354"/>
      <c r="T54" s="354"/>
      <c r="U54" s="354"/>
      <c r="V54" s="354"/>
      <c r="W54" s="354"/>
      <c r="X54" s="354"/>
      <c r="Y54" s="354"/>
      <c r="Z54" s="354"/>
      <c r="AA54" s="354"/>
      <c r="AB54" s="354"/>
      <c r="AC54" s="355"/>
      <c r="AD54" s="154"/>
      <c r="AE54" s="154"/>
    </row>
    <row r="55" spans="2:33" s="135" customFormat="1" ht="3" customHeight="1" x14ac:dyDescent="0.2">
      <c r="C55" s="1"/>
      <c r="D55" s="120"/>
      <c r="E55" s="80"/>
      <c r="F55" s="14"/>
      <c r="G55" s="80"/>
    </row>
    <row r="56" spans="2:33" s="135" customFormat="1" ht="3" customHeight="1" x14ac:dyDescent="0.2">
      <c r="C56" s="1"/>
      <c r="D56" s="120"/>
      <c r="E56" s="80"/>
      <c r="F56" s="14"/>
      <c r="G56" s="80"/>
    </row>
    <row r="57" spans="2:33" s="135" customFormat="1" ht="12.75" customHeight="1" x14ac:dyDescent="0.2">
      <c r="C57" s="1"/>
      <c r="D57" s="120"/>
      <c r="E57" s="80"/>
      <c r="F57" s="14"/>
      <c r="G57" s="80"/>
    </row>
    <row r="58" spans="2:33" x14ac:dyDescent="0.2">
      <c r="C58" s="1"/>
      <c r="D58" s="1"/>
      <c r="AF58" s="154"/>
      <c r="AG58" s="154"/>
    </row>
    <row r="59" spans="2:33" ht="12.75" customHeight="1" x14ac:dyDescent="0.2">
      <c r="C59" s="1"/>
      <c r="D59" s="120"/>
    </row>
    <row r="60" spans="2:33" ht="3" customHeight="1" x14ac:dyDescent="0.2">
      <c r="C60" s="1"/>
      <c r="F60" s="14"/>
    </row>
    <row r="61" spans="2:33" x14ac:dyDescent="0.2">
      <c r="W61" s="154"/>
      <c r="X61" s="154"/>
      <c r="Y61" s="154"/>
      <c r="Z61" s="154"/>
      <c r="AA61" s="154"/>
      <c r="AB61" s="154"/>
      <c r="AC61" s="154"/>
      <c r="AD61" s="154"/>
      <c r="AE61" s="154"/>
      <c r="AF61" s="154"/>
      <c r="AG61" s="154"/>
    </row>
    <row r="64" spans="2:33" x14ac:dyDescent="0.2">
      <c r="B64" s="4"/>
      <c r="C64" s="4"/>
      <c r="D64" s="4"/>
      <c r="E64" s="4"/>
      <c r="F64" s="4"/>
      <c r="G64" s="4"/>
      <c r="I64" s="14"/>
      <c r="J64" s="14"/>
      <c r="K64" s="14"/>
      <c r="L64" s="14"/>
      <c r="M64" s="14"/>
      <c r="N64" s="14"/>
      <c r="O64" s="14"/>
      <c r="P64" s="21"/>
      <c r="Q64" s="21"/>
      <c r="R64" s="21"/>
    </row>
  </sheetData>
  <sheetProtection selectLockedCells="1"/>
  <mergeCells count="20">
    <mergeCell ref="E53:AC54"/>
    <mergeCell ref="E19:AD21"/>
    <mergeCell ref="E29:AD31"/>
    <mergeCell ref="E8:M8"/>
    <mergeCell ref="E33:AD33"/>
    <mergeCell ref="E15:AD16"/>
    <mergeCell ref="E35:AE36"/>
    <mergeCell ref="E34:AE34"/>
    <mergeCell ref="E17:AD17"/>
    <mergeCell ref="E11:AD13"/>
    <mergeCell ref="E40:AD40"/>
    <mergeCell ref="E37:AE37"/>
    <mergeCell ref="E38:AD38"/>
    <mergeCell ref="E42:AE42"/>
    <mergeCell ref="E43:F43"/>
    <mergeCell ref="H43:AD43"/>
    <mergeCell ref="K2:AD2"/>
    <mergeCell ref="E9:F9"/>
    <mergeCell ref="E22:AC24"/>
    <mergeCell ref="E25:AC27"/>
  </mergeCells>
  <hyperlinks>
    <hyperlink ref="E17:AD17" r:id="rId1" display=" https://www.coe.int/en/web/conventions/cets-number-/-abridged-title-known?module=signatures-by-treaty&amp;treatynum=132" xr:uid="{9BCE466E-1C5E-4CF7-9348-B329047675D3}"/>
    <hyperlink ref="E17" r:id="rId2" xr:uid="{D5F9F6B9-FA13-481F-A0F9-035572F0F689}"/>
    <hyperlink ref="H43" r:id="rId3" xr:uid="{73BA54D8-A990-48AE-8C3B-097462A3EABD}"/>
  </hyperlinks>
  <printOptions horizontalCentered="1"/>
  <pageMargins left="0.19685039370078741" right="0.19685039370078741" top="0.51181102362204722" bottom="0.59055118110236227" header="0.51181102362204722" footer="0.31496062992125984"/>
  <pageSetup paperSize="9" scale="62" orientation="portrait" r:id="rId4"/>
  <headerFooter alignWithMargins="0">
    <oddFooter>Page &amp;P&amp;R&amp;F</oddFooter>
  </headerFooter>
  <rowBreaks count="1" manualBreakCount="1">
    <brk id="62" max="33" man="1"/>
  </rowBreaks>
  <drawing r:id="rId5"/>
  <legacyDrawingHF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2"/>
  <dimension ref="A2:AK98"/>
  <sheetViews>
    <sheetView showGridLines="0" view="pageBreakPreview" zoomScale="80" zoomScaleNormal="85" zoomScaleSheetLayoutView="80" workbookViewId="0">
      <selection activeCell="AI23" sqref="AI23"/>
    </sheetView>
  </sheetViews>
  <sheetFormatPr baseColWidth="10" defaultColWidth="11.42578125" defaultRowHeight="12.75" x14ac:dyDescent="0.2"/>
  <cols>
    <col min="1" max="1" width="3.7109375" style="80" customWidth="1"/>
    <col min="2" max="2" width="2.5703125" style="80" customWidth="1"/>
    <col min="3" max="3" width="3.85546875" style="80" customWidth="1"/>
    <col min="4" max="4" width="4" style="80" customWidth="1"/>
    <col min="5" max="7" width="3.7109375" style="80" customWidth="1"/>
    <col min="8" max="8" width="5.42578125" style="80" customWidth="1"/>
    <col min="9" max="9" width="3.140625" style="80" customWidth="1"/>
    <col min="10" max="11" width="3.7109375" style="80" customWidth="1"/>
    <col min="12" max="12" width="5.140625" style="80" customWidth="1"/>
    <col min="13" max="13" width="3.7109375" style="80" customWidth="1"/>
    <col min="14" max="14" width="4.42578125" style="80" customWidth="1"/>
    <col min="15" max="22" width="3.7109375" style="80" customWidth="1"/>
    <col min="23" max="23" width="4.85546875" style="80" customWidth="1"/>
    <col min="24" max="24" width="6.42578125" style="80" customWidth="1"/>
    <col min="25" max="34" width="3.7109375" style="80" customWidth="1"/>
    <col min="35" max="35" width="29.85546875" style="80" customWidth="1"/>
    <col min="36" max="36" width="30.42578125" style="80" hidden="1" customWidth="1"/>
    <col min="37" max="16384" width="11.42578125" style="80"/>
  </cols>
  <sheetData>
    <row r="2" spans="2:37" ht="65.099999999999994" customHeight="1" x14ac:dyDescent="0.2">
      <c r="M2" s="365" t="s">
        <v>111</v>
      </c>
      <c r="N2" s="366"/>
      <c r="O2" s="366"/>
      <c r="P2" s="366"/>
      <c r="Q2" s="366"/>
      <c r="R2" s="366"/>
      <c r="S2" s="366"/>
      <c r="T2" s="366"/>
      <c r="U2" s="366"/>
      <c r="V2" s="366"/>
      <c r="W2" s="366"/>
      <c r="X2" s="366"/>
      <c r="Y2" s="366"/>
      <c r="Z2" s="366"/>
      <c r="AA2" s="366"/>
      <c r="AB2" s="366"/>
      <c r="AC2" s="366"/>
      <c r="AD2" s="366"/>
      <c r="AE2" s="366"/>
      <c r="AF2" s="366"/>
      <c r="AG2" s="366"/>
      <c r="AH2" s="367"/>
      <c r="AI2" s="186"/>
    </row>
    <row r="3" spans="2:37" ht="12" customHeight="1" x14ac:dyDescent="0.2"/>
    <row r="4" spans="2:37" s="151" customFormat="1" ht="11.25" customHeight="1" x14ac:dyDescent="0.2">
      <c r="B4" s="74"/>
      <c r="C4" s="80"/>
      <c r="D4" s="185" t="s">
        <v>80</v>
      </c>
      <c r="E4" s="114"/>
      <c r="F4" s="114"/>
      <c r="G4" s="114"/>
      <c r="H4" s="114"/>
      <c r="I4" s="114"/>
      <c r="J4" s="114"/>
      <c r="K4" s="114"/>
      <c r="L4" s="114"/>
      <c r="M4" s="114"/>
      <c r="N4" s="114"/>
      <c r="O4" s="114"/>
      <c r="P4" s="114"/>
      <c r="Q4" s="114"/>
      <c r="R4" s="80"/>
      <c r="S4" s="80"/>
      <c r="T4" s="80"/>
      <c r="U4" s="80"/>
      <c r="V4" s="80"/>
      <c r="W4" s="80"/>
      <c r="X4" s="80"/>
      <c r="Y4" s="80"/>
      <c r="Z4" s="80"/>
      <c r="AA4" s="80"/>
      <c r="AB4" s="80"/>
      <c r="AC4" s="80"/>
      <c r="AD4" s="80"/>
      <c r="AE4" s="80"/>
      <c r="AF4" s="80"/>
      <c r="AG4" s="80"/>
      <c r="AH4" s="70"/>
      <c r="AI4" s="70"/>
    </row>
    <row r="6" spans="2:37" x14ac:dyDescent="0.2">
      <c r="C6" s="18" t="s">
        <v>76</v>
      </c>
      <c r="D6" s="18" t="s">
        <v>135</v>
      </c>
      <c r="E6" s="152"/>
      <c r="F6" s="152"/>
      <c r="G6" s="152"/>
      <c r="H6" s="152"/>
      <c r="I6" s="152"/>
    </row>
    <row r="7" spans="2:37" ht="3" customHeight="1" x14ac:dyDescent="0.2">
      <c r="C7" s="1"/>
      <c r="D7" s="1"/>
    </row>
    <row r="8" spans="2:37" s="148" customFormat="1" ht="15.75" customHeight="1" x14ac:dyDescent="0.2">
      <c r="B8" s="153"/>
      <c r="C8" s="117"/>
      <c r="D8" s="118" t="s">
        <v>208</v>
      </c>
      <c r="E8" s="119"/>
      <c r="F8" s="119"/>
      <c r="G8" s="119"/>
      <c r="H8" s="119"/>
      <c r="I8" s="119"/>
      <c r="J8" s="119"/>
      <c r="K8" s="119"/>
      <c r="L8" s="119"/>
      <c r="M8" s="119"/>
      <c r="N8" s="119"/>
      <c r="O8" s="119"/>
      <c r="P8" s="119"/>
      <c r="Q8" s="119"/>
      <c r="R8" s="119"/>
      <c r="S8" s="153"/>
      <c r="T8" s="153"/>
      <c r="U8" s="153"/>
      <c r="V8" s="153"/>
      <c r="W8" s="153"/>
      <c r="X8" s="153"/>
      <c r="Y8" s="153"/>
      <c r="Z8" s="153"/>
      <c r="AA8" s="153"/>
      <c r="AB8" s="153"/>
      <c r="AC8" s="153"/>
      <c r="AD8" s="153"/>
      <c r="AE8" s="153"/>
      <c r="AF8" s="153"/>
      <c r="AG8" s="153"/>
      <c r="AH8" s="153"/>
      <c r="AI8" s="153"/>
    </row>
    <row r="9" spans="2:37" ht="3" customHeight="1" x14ac:dyDescent="0.2">
      <c r="C9" s="1"/>
      <c r="D9" s="120"/>
      <c r="F9" s="14"/>
      <c r="AK9" s="154"/>
    </row>
    <row r="10" spans="2:37" ht="15" x14ac:dyDescent="0.2">
      <c r="B10" s="120"/>
      <c r="C10" s="3"/>
      <c r="D10" s="155"/>
      <c r="E10" s="120"/>
      <c r="F10" s="3" t="s">
        <v>18</v>
      </c>
      <c r="G10" s="120" t="s">
        <v>126</v>
      </c>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row>
    <row r="11" spans="2:37" ht="3" customHeight="1" x14ac:dyDescent="0.2">
      <c r="B11" s="120"/>
      <c r="C11" s="3"/>
      <c r="D11" s="120"/>
      <c r="E11" s="120"/>
      <c r="F11" s="3"/>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row>
    <row r="12" spans="2:37" ht="15" x14ac:dyDescent="0.2">
      <c r="B12" s="120"/>
      <c r="C12" s="3"/>
      <c r="D12" s="155"/>
      <c r="E12" s="120"/>
      <c r="F12" s="3" t="s">
        <v>19</v>
      </c>
      <c r="G12" s="120" t="s">
        <v>0</v>
      </c>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row>
    <row r="13" spans="2:37" ht="3" customHeight="1" x14ac:dyDescent="0.2">
      <c r="B13" s="120"/>
      <c r="C13" s="3"/>
      <c r="D13" s="120"/>
      <c r="E13" s="120"/>
      <c r="F13" s="3"/>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row>
    <row r="14" spans="2:37" ht="13.5" customHeight="1" x14ac:dyDescent="0.2">
      <c r="B14" s="120"/>
      <c r="C14" s="3"/>
      <c r="D14" s="155"/>
      <c r="E14" s="120"/>
      <c r="F14" s="3" t="s">
        <v>20</v>
      </c>
      <c r="G14" s="120" t="s">
        <v>74</v>
      </c>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row>
    <row r="15" spans="2:37" ht="3" customHeight="1" x14ac:dyDescent="0.2">
      <c r="B15" s="120"/>
      <c r="C15" s="3"/>
      <c r="D15" s="120"/>
      <c r="E15" s="120"/>
      <c r="F15" s="3"/>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row>
    <row r="16" spans="2:37" ht="13.5" customHeight="1" x14ac:dyDescent="0.2">
      <c r="B16" s="120"/>
      <c r="C16" s="3"/>
      <c r="D16" s="155"/>
      <c r="E16" s="120"/>
      <c r="F16" s="3" t="s">
        <v>21</v>
      </c>
      <c r="G16" s="120" t="s">
        <v>94</v>
      </c>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row>
    <row r="17" spans="2:36" ht="3" customHeight="1" x14ac:dyDescent="0.2">
      <c r="B17" s="120"/>
      <c r="C17" s="3"/>
      <c r="D17" s="120"/>
      <c r="E17" s="120"/>
      <c r="F17" s="3"/>
      <c r="G17" s="120"/>
      <c r="H17" s="120"/>
      <c r="I17" s="120"/>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row>
    <row r="18" spans="2:36" ht="15" x14ac:dyDescent="0.2">
      <c r="B18" s="120"/>
      <c r="C18" s="3"/>
      <c r="D18" s="155"/>
      <c r="E18" s="120"/>
      <c r="F18" s="14" t="s">
        <v>91</v>
      </c>
      <c r="G18" s="80" t="s">
        <v>216</v>
      </c>
    </row>
    <row r="19" spans="2:36" ht="3" customHeight="1" x14ac:dyDescent="0.2">
      <c r="C19" s="1"/>
      <c r="D19" s="120"/>
      <c r="F19" s="14"/>
    </row>
    <row r="20" spans="2:36" ht="13.5" customHeight="1" x14ac:dyDescent="0.2">
      <c r="C20" s="1"/>
      <c r="D20" s="155"/>
      <c r="F20" s="14" t="s">
        <v>244</v>
      </c>
      <c r="G20" s="80" t="s">
        <v>245</v>
      </c>
    </row>
    <row r="21" spans="2:36" ht="3" customHeight="1" x14ac:dyDescent="0.2">
      <c r="C21" s="1"/>
      <c r="D21" s="120"/>
      <c r="F21" s="14"/>
    </row>
    <row r="22" spans="2:36" x14ac:dyDescent="0.2">
      <c r="C22" s="1"/>
      <c r="D22" s="156"/>
      <c r="F22" s="14"/>
    </row>
    <row r="23" spans="2:36" x14ac:dyDescent="0.2">
      <c r="C23" s="18" t="s">
        <v>75</v>
      </c>
      <c r="D23" s="18" t="s">
        <v>136</v>
      </c>
      <c r="E23" s="152"/>
      <c r="F23" s="152"/>
      <c r="G23" s="152"/>
      <c r="H23" s="152"/>
      <c r="I23" s="152"/>
      <c r="AB23" s="154"/>
      <c r="AC23" s="154"/>
      <c r="AD23" s="154"/>
      <c r="AE23" s="154"/>
      <c r="AF23" s="154"/>
      <c r="AG23" s="154"/>
      <c r="AH23" s="154"/>
      <c r="AI23" s="154"/>
      <c r="AJ23" s="154"/>
    </row>
    <row r="24" spans="2:36" x14ac:dyDescent="0.2">
      <c r="F24" s="1"/>
      <c r="AB24" s="154"/>
      <c r="AC24" s="154"/>
      <c r="AD24" s="154"/>
      <c r="AE24" s="154"/>
      <c r="AF24" s="154"/>
      <c r="AG24" s="154"/>
      <c r="AH24" s="154"/>
      <c r="AI24" s="154"/>
      <c r="AJ24" s="154"/>
    </row>
    <row r="25" spans="2:36" ht="15" x14ac:dyDescent="0.2">
      <c r="D25" s="155"/>
      <c r="F25" s="1" t="s">
        <v>18</v>
      </c>
      <c r="G25" s="81" t="s">
        <v>217</v>
      </c>
      <c r="H25" s="81"/>
      <c r="AC25" s="154"/>
      <c r="AD25" s="154"/>
      <c r="AE25" s="154"/>
      <c r="AF25" s="154"/>
      <c r="AG25" s="154"/>
      <c r="AH25" s="154"/>
      <c r="AI25" s="154"/>
      <c r="AJ25" s="154"/>
    </row>
    <row r="26" spans="2:36" ht="3" customHeight="1" x14ac:dyDescent="0.2">
      <c r="C26" s="1"/>
      <c r="D26" s="120"/>
      <c r="F26" s="1"/>
      <c r="G26" s="14"/>
    </row>
    <row r="27" spans="2:36" ht="15" x14ac:dyDescent="0.2">
      <c r="D27" s="155"/>
      <c r="F27" s="1" t="s">
        <v>19</v>
      </c>
      <c r="G27" s="81" t="s">
        <v>260</v>
      </c>
      <c r="H27" s="81"/>
      <c r="AC27" s="154"/>
      <c r="AD27" s="154"/>
      <c r="AE27" s="154"/>
      <c r="AF27" s="154"/>
      <c r="AG27" s="154"/>
      <c r="AH27" s="154"/>
      <c r="AI27" s="154"/>
      <c r="AJ27" s="154"/>
    </row>
    <row r="28" spans="2:36" ht="3" customHeight="1" x14ac:dyDescent="0.2">
      <c r="C28" s="1"/>
      <c r="D28" s="120"/>
      <c r="F28" s="1"/>
      <c r="G28" s="14"/>
    </row>
    <row r="29" spans="2:36" ht="15.75" customHeight="1" x14ac:dyDescent="0.2">
      <c r="D29" s="155"/>
      <c r="F29" s="1" t="s">
        <v>20</v>
      </c>
      <c r="G29" s="80" t="s">
        <v>212</v>
      </c>
      <c r="H29" s="81"/>
      <c r="AC29" s="154"/>
      <c r="AD29" s="154"/>
      <c r="AE29" s="154"/>
      <c r="AF29" s="154"/>
      <c r="AG29" s="154"/>
      <c r="AH29" s="154"/>
      <c r="AI29" s="154"/>
      <c r="AJ29" s="154"/>
    </row>
    <row r="30" spans="2:36" ht="3" customHeight="1" x14ac:dyDescent="0.2">
      <c r="C30" s="1"/>
      <c r="D30" s="120"/>
      <c r="F30" s="1"/>
      <c r="G30" s="14"/>
    </row>
    <row r="31" spans="2:36" ht="15" x14ac:dyDescent="0.2">
      <c r="C31" s="1"/>
      <c r="D31" s="155"/>
      <c r="F31" s="1" t="s">
        <v>21</v>
      </c>
      <c r="G31" s="80" t="s">
        <v>170</v>
      </c>
      <c r="H31" s="81"/>
      <c r="AC31" s="154"/>
      <c r="AD31" s="154"/>
      <c r="AE31" s="154"/>
      <c r="AF31" s="154"/>
      <c r="AG31" s="154"/>
      <c r="AH31" s="154"/>
      <c r="AI31" s="154"/>
      <c r="AJ31" s="154"/>
    </row>
    <row r="32" spans="2:36" ht="3.75" customHeight="1" x14ac:dyDescent="0.2">
      <c r="C32" s="1"/>
      <c r="D32" s="120"/>
      <c r="F32" s="1"/>
      <c r="G32" s="14"/>
    </row>
    <row r="33" spans="3:37" ht="15" x14ac:dyDescent="0.2">
      <c r="D33" s="155"/>
      <c r="F33" s="1" t="s">
        <v>98</v>
      </c>
      <c r="G33" s="80" t="s">
        <v>171</v>
      </c>
      <c r="AC33" s="154"/>
      <c r="AD33" s="154"/>
      <c r="AE33" s="154"/>
      <c r="AF33" s="154"/>
      <c r="AG33" s="154"/>
      <c r="AH33" s="154"/>
      <c r="AI33" s="154"/>
      <c r="AJ33" s="154"/>
    </row>
    <row r="34" spans="3:37" ht="3" customHeight="1" x14ac:dyDescent="0.2">
      <c r="C34" s="1"/>
      <c r="D34" s="156"/>
      <c r="AC34" s="154"/>
      <c r="AD34" s="154"/>
      <c r="AE34" s="154"/>
      <c r="AF34" s="154"/>
      <c r="AG34" s="154"/>
      <c r="AH34" s="154"/>
      <c r="AI34" s="154"/>
      <c r="AJ34" s="154"/>
    </row>
    <row r="35" spans="3:37" ht="3" customHeight="1" x14ac:dyDescent="0.2">
      <c r="C35" s="1"/>
      <c r="D35" s="120"/>
      <c r="F35" s="14"/>
    </row>
    <row r="36" spans="3:37" x14ac:dyDescent="0.2">
      <c r="C36" s="1"/>
      <c r="F36" s="1"/>
      <c r="AB36" s="154"/>
      <c r="AC36" s="154"/>
      <c r="AD36" s="154"/>
      <c r="AE36" s="154"/>
      <c r="AF36" s="154"/>
      <c r="AG36" s="154"/>
      <c r="AH36" s="154"/>
      <c r="AI36" s="154"/>
      <c r="AJ36" s="154"/>
    </row>
    <row r="37" spans="3:37" s="157" customFormat="1" ht="2.25" customHeight="1" x14ac:dyDescent="0.2">
      <c r="C37" s="108"/>
      <c r="D37" s="158"/>
      <c r="F37" s="109"/>
    </row>
    <row r="38" spans="3:37" x14ac:dyDescent="0.2">
      <c r="C38" s="18" t="s">
        <v>78</v>
      </c>
      <c r="D38" s="18" t="s">
        <v>137</v>
      </c>
      <c r="E38" s="152"/>
      <c r="F38" s="152"/>
      <c r="G38" s="152"/>
      <c r="H38" s="152"/>
    </row>
    <row r="39" spans="3:37" ht="3" customHeight="1" x14ac:dyDescent="0.2">
      <c r="C39" s="1"/>
      <c r="D39" s="120"/>
      <c r="F39" s="14"/>
      <c r="AK39" s="154"/>
    </row>
    <row r="40" spans="3:37" ht="15.75" customHeight="1" x14ac:dyDescent="0.2">
      <c r="C40" s="1"/>
      <c r="D40" s="368" t="s">
        <v>254</v>
      </c>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114"/>
    </row>
    <row r="41" spans="3:37" x14ac:dyDescent="0.2">
      <c r="C41" s="1"/>
      <c r="D41" s="368"/>
      <c r="E41" s="368"/>
      <c r="F41" s="368"/>
      <c r="G41" s="368"/>
      <c r="H41" s="368"/>
      <c r="I41" s="368"/>
      <c r="J41" s="368"/>
      <c r="K41" s="368"/>
      <c r="L41" s="368"/>
      <c r="M41" s="368"/>
      <c r="N41" s="368"/>
      <c r="O41" s="368"/>
      <c r="P41" s="368"/>
      <c r="Q41" s="368"/>
      <c r="R41" s="368"/>
      <c r="S41" s="368"/>
      <c r="T41" s="368"/>
      <c r="U41" s="368"/>
      <c r="V41" s="368"/>
      <c r="W41" s="368"/>
      <c r="X41" s="368"/>
      <c r="Y41" s="368"/>
      <c r="Z41" s="368"/>
      <c r="AA41" s="368"/>
      <c r="AB41" s="368"/>
      <c r="AC41" s="368"/>
      <c r="AD41" s="368"/>
      <c r="AE41" s="368"/>
      <c r="AF41" s="368"/>
      <c r="AG41" s="368"/>
      <c r="AH41" s="368"/>
      <c r="AI41" s="368"/>
      <c r="AJ41" s="114"/>
    </row>
    <row r="42" spans="3:37" ht="3" customHeight="1" x14ac:dyDescent="0.2">
      <c r="C42" s="1"/>
      <c r="D42" s="1"/>
    </row>
    <row r="43" spans="3:37" ht="15" x14ac:dyDescent="0.2">
      <c r="C43" s="1"/>
      <c r="D43" s="155"/>
      <c r="F43" s="1" t="s">
        <v>18</v>
      </c>
      <c r="G43" s="81" t="s">
        <v>138</v>
      </c>
      <c r="H43" s="1"/>
      <c r="I43" s="1"/>
      <c r="J43" s="1"/>
      <c r="K43" s="1"/>
    </row>
    <row r="44" spans="3:37" ht="3" customHeight="1" x14ac:dyDescent="0.2">
      <c r="C44" s="1"/>
      <c r="D44" s="120"/>
    </row>
    <row r="45" spans="3:37" s="135" customFormat="1" ht="14.25" customHeight="1" x14ac:dyDescent="0.2">
      <c r="D45" s="155"/>
      <c r="E45" s="80"/>
      <c r="F45" s="3" t="s">
        <v>19</v>
      </c>
      <c r="G45" s="1" t="s">
        <v>172</v>
      </c>
      <c r="H45" s="80"/>
      <c r="I45" s="80"/>
      <c r="J45" s="80"/>
      <c r="K45" s="80"/>
      <c r="L45" s="80"/>
      <c r="M45" s="80"/>
      <c r="N45" s="1"/>
      <c r="O45" s="1"/>
      <c r="P45" s="1"/>
      <c r="Q45" s="1"/>
      <c r="R45" s="1"/>
      <c r="S45" s="1"/>
      <c r="T45" s="1"/>
      <c r="U45" s="1"/>
      <c r="V45" s="1"/>
      <c r="W45" s="1"/>
      <c r="X45" s="1"/>
      <c r="Y45" s="1"/>
      <c r="Z45" s="1"/>
      <c r="AA45" s="1"/>
      <c r="AB45" s="1"/>
      <c r="AC45" s="1"/>
      <c r="AD45" s="1"/>
      <c r="AE45" s="1"/>
      <c r="AF45" s="1"/>
      <c r="AG45" s="1"/>
      <c r="AH45" s="1"/>
      <c r="AI45" s="1"/>
      <c r="AJ45" s="1"/>
    </row>
    <row r="46" spans="3:37" s="135" customFormat="1" ht="3" customHeight="1" x14ac:dyDescent="0.2">
      <c r="C46" s="1"/>
      <c r="D46" s="120"/>
      <c r="E46" s="80"/>
    </row>
    <row r="47" spans="3:37" s="135" customFormat="1" ht="12.75" customHeight="1" x14ac:dyDescent="0.2">
      <c r="D47" s="155"/>
      <c r="E47" s="80"/>
      <c r="F47" s="110" t="s">
        <v>90</v>
      </c>
      <c r="G47" s="110" t="s">
        <v>97</v>
      </c>
    </row>
    <row r="48" spans="3:37" ht="12.75" customHeight="1" x14ac:dyDescent="0.2">
      <c r="C48" s="1"/>
      <c r="D48" s="120"/>
      <c r="F48" s="14"/>
      <c r="G48" s="149" t="s">
        <v>120</v>
      </c>
      <c r="AK48" s="154"/>
    </row>
    <row r="49" spans="3:37" ht="3" customHeight="1" x14ac:dyDescent="0.2">
      <c r="C49" s="1"/>
      <c r="D49" s="120"/>
      <c r="F49" s="14"/>
      <c r="AK49" s="154"/>
    </row>
    <row r="50" spans="3:37" ht="12.75" customHeight="1" x14ac:dyDescent="0.2">
      <c r="C50" s="1"/>
      <c r="D50" s="120"/>
      <c r="F50" s="14"/>
      <c r="G50" s="149" t="s">
        <v>121</v>
      </c>
      <c r="AK50" s="154"/>
    </row>
    <row r="51" spans="3:37" ht="3" customHeight="1" x14ac:dyDescent="0.2">
      <c r="C51" s="1"/>
      <c r="D51" s="120"/>
      <c r="F51" s="14"/>
      <c r="AK51" s="154"/>
    </row>
    <row r="52" spans="3:37" ht="12.75" customHeight="1" x14ac:dyDescent="0.2">
      <c r="C52" s="1"/>
      <c r="D52" s="120"/>
      <c r="F52" s="14"/>
      <c r="G52" s="149" t="s">
        <v>122</v>
      </c>
      <c r="AK52" s="154"/>
    </row>
    <row r="53" spans="3:37" ht="3" customHeight="1" x14ac:dyDescent="0.2">
      <c r="C53" s="1"/>
      <c r="D53" s="120"/>
      <c r="F53" s="14"/>
      <c r="AK53" s="154"/>
    </row>
    <row r="54" spans="3:37" ht="12.75" customHeight="1" x14ac:dyDescent="0.2">
      <c r="C54" s="1"/>
      <c r="D54" s="120"/>
      <c r="F54" s="14"/>
      <c r="G54" s="149" t="s">
        <v>123</v>
      </c>
      <c r="AK54" s="154"/>
    </row>
    <row r="55" spans="3:37" ht="3" customHeight="1" x14ac:dyDescent="0.2">
      <c r="C55" s="1"/>
      <c r="D55" s="120"/>
      <c r="F55" s="14"/>
      <c r="AK55" s="154"/>
    </row>
    <row r="56" spans="3:37" ht="12.75" customHeight="1" x14ac:dyDescent="0.2">
      <c r="C56" s="1"/>
      <c r="D56" s="120"/>
      <c r="F56" s="14"/>
      <c r="G56" s="149" t="s">
        <v>124</v>
      </c>
      <c r="AK56" s="154"/>
    </row>
    <row r="57" spans="3:37" ht="13.5" customHeight="1" x14ac:dyDescent="0.2">
      <c r="D57" s="155"/>
      <c r="F57" s="1" t="s">
        <v>21</v>
      </c>
      <c r="G57" s="1" t="s">
        <v>257</v>
      </c>
      <c r="AK57" s="154"/>
    </row>
    <row r="58" spans="3:37" ht="11.1" customHeight="1" x14ac:dyDescent="0.2">
      <c r="F58" s="1"/>
      <c r="G58" s="369" t="s">
        <v>258</v>
      </c>
      <c r="H58" s="369"/>
      <c r="I58" s="369"/>
      <c r="J58" s="369"/>
      <c r="K58" s="369"/>
      <c r="L58" s="369"/>
      <c r="M58" s="369"/>
      <c r="N58" s="369"/>
      <c r="O58" s="369"/>
      <c r="P58" s="369"/>
      <c r="Q58" s="369"/>
      <c r="R58" s="369"/>
      <c r="S58" s="369"/>
      <c r="T58" s="369"/>
      <c r="U58" s="369"/>
      <c r="V58" s="369"/>
      <c r="W58" s="369"/>
      <c r="X58" s="369"/>
      <c r="Y58" s="369"/>
      <c r="Z58" s="369"/>
      <c r="AA58" s="369"/>
      <c r="AB58" s="369"/>
      <c r="AC58" s="369"/>
      <c r="AD58" s="369"/>
      <c r="AE58" s="369"/>
      <c r="AF58" s="369"/>
      <c r="AG58" s="369"/>
      <c r="AH58" s="369"/>
      <c r="AI58" s="369"/>
      <c r="AK58" s="154"/>
    </row>
    <row r="59" spans="3:37" ht="13.5" customHeight="1" x14ac:dyDescent="0.2">
      <c r="F59" s="1"/>
      <c r="G59" s="369"/>
      <c r="H59" s="369"/>
      <c r="I59" s="369"/>
      <c r="J59" s="369"/>
      <c r="K59" s="369"/>
      <c r="L59" s="369"/>
      <c r="M59" s="369"/>
      <c r="N59" s="369"/>
      <c r="O59" s="369"/>
      <c r="P59" s="369"/>
      <c r="Q59" s="369"/>
      <c r="R59" s="369"/>
      <c r="S59" s="369"/>
      <c r="T59" s="369"/>
      <c r="U59" s="369"/>
      <c r="V59" s="369"/>
      <c r="W59" s="369"/>
      <c r="X59" s="369"/>
      <c r="Y59" s="369"/>
      <c r="Z59" s="369"/>
      <c r="AA59" s="369"/>
      <c r="AB59" s="369"/>
      <c r="AC59" s="369"/>
      <c r="AD59" s="369"/>
      <c r="AE59" s="369"/>
      <c r="AF59" s="369"/>
      <c r="AG59" s="369"/>
      <c r="AH59" s="369"/>
      <c r="AI59" s="369"/>
      <c r="AK59" s="154"/>
    </row>
    <row r="60" spans="3:37" ht="12.95" customHeight="1" x14ac:dyDescent="0.2">
      <c r="F60" s="1"/>
      <c r="G60" s="149" t="s">
        <v>252</v>
      </c>
      <c r="AK60" s="154"/>
    </row>
    <row r="61" spans="3:37" ht="13.5" customHeight="1" x14ac:dyDescent="0.2">
      <c r="F61" s="1"/>
      <c r="G61" s="149" t="s">
        <v>253</v>
      </c>
      <c r="AK61" s="154"/>
    </row>
    <row r="62" spans="3:37" ht="13.5" customHeight="1" x14ac:dyDescent="0.2">
      <c r="F62" s="1"/>
      <c r="G62" s="149" t="s">
        <v>255</v>
      </c>
      <c r="AK62" s="154"/>
    </row>
    <row r="63" spans="3:37" ht="13.5" customHeight="1" x14ac:dyDescent="0.2">
      <c r="F63" s="1"/>
      <c r="G63" s="149" t="s">
        <v>256</v>
      </c>
      <c r="AK63" s="154"/>
    </row>
    <row r="64" spans="3:37" ht="3" customHeight="1" x14ac:dyDescent="0.2">
      <c r="C64" s="1"/>
      <c r="D64" s="120"/>
      <c r="F64" s="14"/>
      <c r="AK64" s="154"/>
    </row>
    <row r="65" spans="3:37" ht="13.5" customHeight="1" x14ac:dyDescent="0.2">
      <c r="D65" s="155"/>
      <c r="F65" s="1" t="s">
        <v>98</v>
      </c>
      <c r="G65" s="1" t="s">
        <v>173</v>
      </c>
      <c r="AK65" s="154"/>
    </row>
    <row r="66" spans="3:37" ht="3" customHeight="1" x14ac:dyDescent="0.2">
      <c r="C66" s="1"/>
      <c r="D66" s="120"/>
      <c r="F66" s="14"/>
      <c r="AK66" s="154"/>
    </row>
    <row r="67" spans="3:37" ht="12.6" customHeight="1" x14ac:dyDescent="0.2">
      <c r="D67" s="155"/>
      <c r="F67" s="1" t="s">
        <v>251</v>
      </c>
      <c r="G67" s="1" t="s">
        <v>219</v>
      </c>
      <c r="AK67" s="154"/>
    </row>
    <row r="68" spans="3:37" ht="12.75" customHeight="1" x14ac:dyDescent="0.2">
      <c r="C68" s="1"/>
      <c r="D68" s="120"/>
      <c r="F68" s="14"/>
      <c r="G68" s="149"/>
      <c r="AK68" s="154"/>
    </row>
    <row r="69" spans="3:37" x14ac:dyDescent="0.2">
      <c r="D69" s="190" t="s">
        <v>154</v>
      </c>
      <c r="F69" s="1"/>
      <c r="G69" s="1"/>
      <c r="AK69" s="154"/>
    </row>
    <row r="70" spans="3:37" x14ac:dyDescent="0.2">
      <c r="D70" s="190" t="s">
        <v>155</v>
      </c>
      <c r="F70" s="1"/>
      <c r="G70" s="1"/>
      <c r="AK70" s="154"/>
    </row>
    <row r="71" spans="3:37" x14ac:dyDescent="0.2">
      <c r="D71" s="190" t="s">
        <v>246</v>
      </c>
      <c r="F71" s="1"/>
      <c r="G71" s="1"/>
      <c r="AK71" s="154"/>
    </row>
    <row r="72" spans="3:37" x14ac:dyDescent="0.2">
      <c r="D72" s="190"/>
      <c r="F72" s="1"/>
      <c r="G72" s="1"/>
      <c r="AK72" s="154"/>
    </row>
    <row r="73" spans="3:37" x14ac:dyDescent="0.2">
      <c r="C73" s="112" t="s">
        <v>77</v>
      </c>
      <c r="D73" s="112" t="s">
        <v>168</v>
      </c>
      <c r="E73" s="159"/>
      <c r="F73" s="159"/>
      <c r="G73" s="159"/>
      <c r="H73" s="159"/>
      <c r="I73" s="159"/>
      <c r="J73" s="159"/>
      <c r="K73" s="159"/>
      <c r="L73" s="159"/>
      <c r="M73" s="111"/>
      <c r="N73" s="111"/>
      <c r="O73" s="111"/>
      <c r="P73" s="111"/>
      <c r="Q73" s="111"/>
      <c r="R73" s="111"/>
      <c r="S73" s="111"/>
      <c r="T73" s="111"/>
      <c r="U73" s="111"/>
      <c r="V73" s="111"/>
      <c r="W73" s="111"/>
      <c r="X73" s="111"/>
      <c r="Y73" s="111"/>
      <c r="Z73" s="111"/>
      <c r="AA73" s="111"/>
      <c r="AK73" s="154"/>
    </row>
    <row r="74" spans="3:37" x14ac:dyDescent="0.2">
      <c r="D74" s="84"/>
      <c r="E74" s="84"/>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K74" s="154"/>
    </row>
    <row r="75" spans="3:37" ht="12.75" customHeight="1" x14ac:dyDescent="0.2">
      <c r="D75" s="84"/>
      <c r="E75" s="84"/>
      <c r="F75" s="111"/>
      <c r="G75" s="111" t="s">
        <v>69</v>
      </c>
      <c r="H75" s="111" t="s">
        <v>146</v>
      </c>
      <c r="I75" s="111"/>
      <c r="J75" s="111"/>
      <c r="K75" s="111"/>
      <c r="M75" s="111"/>
      <c r="N75" s="111"/>
      <c r="O75" s="111"/>
      <c r="P75" s="111"/>
      <c r="Q75" s="111"/>
      <c r="R75" s="111"/>
      <c r="S75" s="111"/>
      <c r="T75" s="111"/>
      <c r="U75" s="111"/>
      <c r="V75" s="111"/>
      <c r="W75" s="111"/>
      <c r="X75" s="111"/>
      <c r="Y75" s="111"/>
      <c r="Z75" s="111"/>
      <c r="AA75" s="111"/>
      <c r="AB75" s="111"/>
    </row>
    <row r="76" spans="3:37" ht="12.75" customHeight="1" x14ac:dyDescent="0.2">
      <c r="D76" s="84"/>
      <c r="E76" s="84"/>
      <c r="F76" s="111"/>
      <c r="G76" s="111" t="s">
        <v>69</v>
      </c>
      <c r="H76" s="111" t="s">
        <v>144</v>
      </c>
      <c r="I76" s="111"/>
      <c r="J76" s="111"/>
      <c r="K76" s="111"/>
      <c r="M76" s="111"/>
      <c r="N76" s="111"/>
      <c r="O76" s="111"/>
      <c r="P76" s="111"/>
      <c r="Q76" s="111"/>
      <c r="R76" s="111"/>
      <c r="S76" s="111"/>
      <c r="T76" s="111"/>
      <c r="U76" s="111"/>
      <c r="V76" s="111"/>
      <c r="W76" s="111"/>
      <c r="X76" s="111"/>
      <c r="Y76" s="111"/>
      <c r="Z76" s="111"/>
      <c r="AA76" s="111"/>
      <c r="AB76" s="111"/>
    </row>
    <row r="77" spans="3:37" ht="14.25" customHeight="1" x14ac:dyDescent="0.2">
      <c r="D77" s="84"/>
      <c r="E77" s="84"/>
      <c r="F77" s="111"/>
      <c r="G77" s="111" t="s">
        <v>69</v>
      </c>
      <c r="H77" s="111" t="s">
        <v>145</v>
      </c>
      <c r="I77" s="111"/>
      <c r="J77" s="111"/>
      <c r="K77" s="111"/>
      <c r="M77" s="111" t="s">
        <v>17</v>
      </c>
      <c r="N77" s="111"/>
      <c r="O77" s="111"/>
      <c r="P77" s="111"/>
      <c r="Q77" s="111"/>
      <c r="R77" s="111"/>
      <c r="S77" s="111"/>
      <c r="T77" s="111"/>
      <c r="U77" s="111"/>
      <c r="V77" s="111"/>
      <c r="W77" s="111"/>
      <c r="X77" s="111"/>
      <c r="Y77" s="111"/>
      <c r="Z77" s="111"/>
      <c r="AA77" s="111"/>
      <c r="AB77" s="111"/>
    </row>
    <row r="78" spans="3:37" ht="21" customHeight="1" x14ac:dyDescent="0.2">
      <c r="D78" s="191" t="s">
        <v>156</v>
      </c>
    </row>
    <row r="79" spans="3:37" ht="12.6" customHeight="1" x14ac:dyDescent="0.2">
      <c r="D79" s="191" t="s">
        <v>157</v>
      </c>
    </row>
    <row r="80" spans="3:37" ht="12" customHeight="1" x14ac:dyDescent="0.2">
      <c r="D80" s="216" t="s">
        <v>161</v>
      </c>
    </row>
    <row r="81" spans="1:37" ht="12" customHeight="1" x14ac:dyDescent="0.2">
      <c r="D81" s="216"/>
    </row>
    <row r="82" spans="1:37" ht="12" customHeight="1" x14ac:dyDescent="0.2">
      <c r="C82" s="217"/>
      <c r="D82" s="217"/>
      <c r="E82" s="218"/>
      <c r="F82" s="218"/>
      <c r="G82" s="218"/>
      <c r="H82" s="218"/>
      <c r="I82" s="218"/>
      <c r="J82" s="218"/>
      <c r="K82" s="218"/>
      <c r="L82" s="218"/>
      <c r="N82" s="87"/>
    </row>
    <row r="83" spans="1:37" ht="12" customHeight="1" thickBot="1" x14ac:dyDescent="0.25">
      <c r="D83" s="216"/>
    </row>
    <row r="84" spans="1:37" ht="24" customHeight="1" thickBot="1" x14ac:dyDescent="0.25">
      <c r="A84" s="19"/>
      <c r="F84" s="362" t="s">
        <v>147</v>
      </c>
      <c r="G84" s="363"/>
      <c r="H84" s="363"/>
      <c r="I84" s="363"/>
      <c r="J84" s="363"/>
      <c r="K84" s="363"/>
      <c r="L84" s="363"/>
      <c r="M84" s="363"/>
      <c r="N84" s="363"/>
      <c r="O84" s="363"/>
      <c r="P84" s="363"/>
      <c r="Q84" s="363"/>
      <c r="R84" s="363"/>
      <c r="S84" s="363"/>
      <c r="T84" s="363"/>
      <c r="U84" s="363"/>
      <c r="V84" s="363"/>
      <c r="W84" s="363"/>
      <c r="X84" s="363"/>
      <c r="Y84" s="363"/>
      <c r="Z84" s="363"/>
      <c r="AA84" s="363"/>
      <c r="AB84" s="363"/>
      <c r="AC84" s="363"/>
      <c r="AD84" s="363"/>
      <c r="AE84" s="363"/>
      <c r="AF84" s="364"/>
      <c r="AG84" s="154"/>
      <c r="AH84" s="154"/>
      <c r="AI84" s="154"/>
      <c r="AJ84" s="154"/>
      <c r="AK84" s="154"/>
    </row>
    <row r="85" spans="1:37" ht="10.5" customHeight="1" x14ac:dyDescent="0.25">
      <c r="A85" s="19"/>
      <c r="F85" s="20"/>
      <c r="G85" s="20"/>
      <c r="H85" s="20"/>
      <c r="I85" s="20"/>
      <c r="J85" s="16"/>
      <c r="K85"/>
      <c r="L85"/>
      <c r="M85"/>
      <c r="N85"/>
      <c r="O85"/>
      <c r="P85"/>
      <c r="Q85"/>
      <c r="R85"/>
      <c r="S85"/>
      <c r="T85"/>
      <c r="U85"/>
      <c r="V85"/>
      <c r="W85" s="187"/>
      <c r="X85" s="157"/>
      <c r="AB85"/>
      <c r="AC85"/>
      <c r="AD85"/>
      <c r="AE85"/>
      <c r="AF85"/>
      <c r="AG85" s="154"/>
      <c r="AH85" s="154"/>
      <c r="AI85" s="154"/>
      <c r="AJ85" s="154"/>
      <c r="AK85" s="154"/>
    </row>
    <row r="86" spans="1:37" ht="12.75" customHeight="1" x14ac:dyDescent="0.2">
      <c r="A86" s="19"/>
      <c r="F86"/>
      <c r="G86" s="84" t="s">
        <v>218</v>
      </c>
      <c r="H86"/>
      <c r="I86" s="84"/>
      <c r="J86" s="188"/>
      <c r="K86" s="1"/>
      <c r="L86" s="188"/>
      <c r="M86" s="188"/>
      <c r="N86" s="188"/>
      <c r="O86" s="188"/>
      <c r="P86" s="188"/>
      <c r="Q86" s="188"/>
      <c r="R86" s="188"/>
      <c r="S86" s="84"/>
      <c r="T86" s="84"/>
      <c r="U86" s="1"/>
      <c r="V86" s="1"/>
      <c r="W86" s="1"/>
      <c r="X86" s="1"/>
      <c r="Y86" s="1"/>
      <c r="Z86" s="1"/>
      <c r="AA86" s="1"/>
      <c r="AB86" s="1"/>
      <c r="AC86" s="31"/>
      <c r="AD86" s="31"/>
      <c r="AE86" s="31"/>
      <c r="AF86" s="189"/>
      <c r="AG86" s="154"/>
      <c r="AH86" s="154"/>
      <c r="AI86" s="154"/>
      <c r="AJ86" s="154"/>
      <c r="AK86" s="154"/>
    </row>
    <row r="87" spans="1:37" ht="12.75" customHeight="1" x14ac:dyDescent="0.2">
      <c r="A87" s="19"/>
      <c r="G87" s="127" t="s">
        <v>148</v>
      </c>
      <c r="I87" s="84"/>
      <c r="J87" s="188"/>
      <c r="K87" s="1"/>
      <c r="L87" s="188"/>
      <c r="M87" s="188"/>
      <c r="N87" s="188"/>
      <c r="O87" s="188"/>
      <c r="P87" s="188"/>
      <c r="Q87" s="188"/>
      <c r="R87" s="188"/>
      <c r="S87" s="84"/>
      <c r="T87" s="84"/>
      <c r="U87" s="1"/>
      <c r="V87" s="1"/>
      <c r="W87" s="1"/>
      <c r="X87" s="1"/>
      <c r="Y87" s="1"/>
      <c r="Z87" s="1"/>
      <c r="AA87" s="1"/>
      <c r="AB87" s="1"/>
      <c r="AC87" s="31"/>
      <c r="AD87" s="31"/>
      <c r="AE87" s="31"/>
      <c r="AF87" s="154"/>
      <c r="AG87" s="154"/>
      <c r="AH87" s="154"/>
      <c r="AI87" s="154"/>
      <c r="AJ87" s="154"/>
      <c r="AK87" s="154"/>
    </row>
    <row r="88" spans="1:37" ht="12.75" customHeight="1" x14ac:dyDescent="0.2">
      <c r="A88" s="19"/>
      <c r="F88"/>
      <c r="G88" s="1" t="s">
        <v>199</v>
      </c>
      <c r="H88"/>
      <c r="I88" s="1"/>
      <c r="J88" s="1"/>
      <c r="K88" s="1"/>
      <c r="L88" s="1"/>
      <c r="M88" s="1"/>
      <c r="N88" s="1"/>
      <c r="O88" s="1"/>
      <c r="P88" s="1"/>
      <c r="Q88" s="1"/>
      <c r="R88" s="1"/>
      <c r="S88" s="1"/>
      <c r="T88" s="1"/>
      <c r="U88" s="1"/>
      <c r="V88" s="1"/>
      <c r="W88" s="1"/>
      <c r="X88" s="1"/>
      <c r="Y88" s="1"/>
      <c r="Z88" s="1"/>
      <c r="AA88" s="1"/>
      <c r="AB88" s="1"/>
      <c r="AC88" s="31"/>
      <c r="AD88" s="31"/>
      <c r="AE88" s="31"/>
      <c r="AF88" s="31"/>
      <c r="AG88" s="154"/>
      <c r="AH88" s="154"/>
      <c r="AI88" s="154"/>
      <c r="AJ88" s="154"/>
      <c r="AK88" s="154"/>
    </row>
    <row r="89" spans="1:37" ht="12.75" customHeight="1" x14ac:dyDescent="0.2">
      <c r="A89" s="19"/>
      <c r="F89"/>
      <c r="G89" s="1"/>
      <c r="H89"/>
      <c r="I89" s="1"/>
      <c r="J89" s="1"/>
      <c r="K89" s="1"/>
      <c r="L89" s="1"/>
      <c r="M89" s="1"/>
      <c r="N89" s="1"/>
      <c r="O89" s="1"/>
      <c r="P89" s="1"/>
      <c r="Q89" s="1"/>
      <c r="R89" s="1"/>
      <c r="S89" s="1"/>
      <c r="T89" s="1"/>
      <c r="U89" s="1"/>
      <c r="V89" s="1"/>
      <c r="W89" s="1"/>
      <c r="X89" s="1"/>
      <c r="Y89" s="1"/>
      <c r="Z89" s="1"/>
      <c r="AA89" s="1"/>
      <c r="AB89" s="1"/>
      <c r="AC89" s="31"/>
      <c r="AD89" s="31"/>
      <c r="AE89" s="31"/>
      <c r="AF89" s="31"/>
      <c r="AG89" s="154"/>
      <c r="AH89" s="154"/>
      <c r="AI89" s="154"/>
      <c r="AJ89" s="154"/>
      <c r="AK89" s="154"/>
    </row>
    <row r="90" spans="1:37" ht="12.95" customHeight="1" x14ac:dyDescent="0.2">
      <c r="A90" s="19"/>
      <c r="I90" s="84"/>
      <c r="J90" s="164"/>
      <c r="L90" s="164"/>
      <c r="M90" s="164"/>
      <c r="N90" s="164"/>
      <c r="O90" s="164"/>
      <c r="P90" s="164"/>
      <c r="Q90" s="164"/>
      <c r="R90" s="164"/>
      <c r="S90" s="164"/>
      <c r="T90" s="164"/>
      <c r="U90" s="164"/>
      <c r="V90" s="164"/>
      <c r="W90" s="164"/>
      <c r="X90" s="164"/>
      <c r="Y90" s="164"/>
      <c r="Z90" s="164"/>
      <c r="AA90" s="145"/>
      <c r="AB90" s="145"/>
      <c r="AC90" s="146"/>
      <c r="AD90" s="154"/>
      <c r="AE90" s="154"/>
      <c r="AF90" s="154"/>
      <c r="AG90" s="154"/>
      <c r="AH90" s="154"/>
      <c r="AI90" s="154"/>
      <c r="AJ90" s="154"/>
      <c r="AK90" s="154"/>
    </row>
    <row r="91" spans="1:37" ht="3" customHeight="1" x14ac:dyDescent="0.2">
      <c r="AC91" s="154"/>
      <c r="AD91" s="154"/>
      <c r="AE91" s="154"/>
      <c r="AF91" s="154"/>
      <c r="AG91" s="154"/>
      <c r="AH91" s="154"/>
      <c r="AI91" s="154"/>
      <c r="AJ91" s="154"/>
      <c r="AK91" s="154"/>
    </row>
    <row r="92" spans="1:37" x14ac:dyDescent="0.2">
      <c r="AC92" s="154"/>
      <c r="AD92" s="154"/>
      <c r="AE92" s="154"/>
      <c r="AF92" s="154"/>
      <c r="AG92" s="154"/>
      <c r="AH92" s="154"/>
      <c r="AI92" s="154"/>
      <c r="AJ92" s="154"/>
      <c r="AK92" s="154"/>
    </row>
    <row r="93" spans="1:37" x14ac:dyDescent="0.2">
      <c r="AC93" s="154"/>
      <c r="AD93" s="154"/>
      <c r="AE93" s="154"/>
      <c r="AF93" s="154"/>
      <c r="AG93" s="154"/>
      <c r="AH93" s="154"/>
      <c r="AI93" s="154"/>
      <c r="AJ93" s="154"/>
      <c r="AK93" s="154"/>
    </row>
    <row r="94" spans="1:37" x14ac:dyDescent="0.2">
      <c r="AC94" s="154"/>
      <c r="AD94" s="154"/>
      <c r="AE94" s="154"/>
      <c r="AF94" s="154"/>
      <c r="AG94" s="154"/>
      <c r="AH94" s="154"/>
      <c r="AI94" s="154"/>
      <c r="AJ94" s="154"/>
      <c r="AK94" s="154"/>
    </row>
    <row r="95" spans="1:37" ht="15" customHeight="1" x14ac:dyDescent="0.2">
      <c r="AB95" s="154"/>
      <c r="AC95" s="154"/>
      <c r="AD95" s="154"/>
      <c r="AE95" s="154"/>
      <c r="AF95" s="154"/>
      <c r="AG95" s="154"/>
      <c r="AH95" s="154"/>
      <c r="AI95" s="154"/>
      <c r="AJ95" s="154"/>
      <c r="AK95" s="154"/>
    </row>
    <row r="98" spans="2:23" x14ac:dyDescent="0.2">
      <c r="B98" s="4"/>
      <c r="C98" s="4"/>
      <c r="D98" s="4"/>
      <c r="E98" s="4"/>
      <c r="F98" s="4"/>
      <c r="G98" s="4"/>
      <c r="I98" s="14"/>
      <c r="J98" s="14"/>
      <c r="K98" s="14"/>
      <c r="L98" s="14"/>
      <c r="M98" s="14"/>
      <c r="N98" s="14"/>
      <c r="O98" s="14"/>
      <c r="P98" s="21"/>
      <c r="Q98" s="21"/>
      <c r="R98" s="21"/>
      <c r="S98" s="22"/>
      <c r="T98" s="22"/>
      <c r="U98" s="22"/>
      <c r="V98" s="20"/>
      <c r="W98" s="16"/>
    </row>
  </sheetData>
  <sheetProtection selectLockedCells="1"/>
  <mergeCells count="4">
    <mergeCell ref="F84:AF84"/>
    <mergeCell ref="M2:AH2"/>
    <mergeCell ref="D40:AI41"/>
    <mergeCell ref="G58:AI59"/>
  </mergeCells>
  <phoneticPr fontId="17" type="noConversion"/>
  <printOptions horizontalCentered="1"/>
  <pageMargins left="0.19685039370078741" right="0.19685039370078741" top="0.51181102362204722" bottom="0.59055118110236227" header="0.51181102362204722" footer="0.31496062992125984"/>
  <pageSetup paperSize="9" scale="63" orientation="portrait" r:id="rId1"/>
  <headerFooter alignWithMargins="0">
    <oddFooter>Page &amp;P&amp;R&amp;F</oddFooter>
  </headerFooter>
  <rowBreaks count="1" manualBreakCount="1">
    <brk id="96" max="3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2049" r:id="rId5" name="Check Box 1">
              <controlPr defaultSize="0" autoFill="0" autoLine="0" autoPict="0">
                <anchor moveWithCells="1">
                  <from>
                    <xdr:col>3</xdr:col>
                    <xdr:colOff>9525</xdr:colOff>
                    <xdr:row>8</xdr:row>
                    <xdr:rowOff>0</xdr:rowOff>
                  </from>
                  <to>
                    <xdr:col>4</xdr:col>
                    <xdr:colOff>28575</xdr:colOff>
                    <xdr:row>11</xdr:row>
                    <xdr:rowOff>0</xdr:rowOff>
                  </to>
                </anchor>
              </controlPr>
            </control>
          </mc:Choice>
        </mc:AlternateContent>
        <mc:AlternateContent xmlns:mc="http://schemas.openxmlformats.org/markup-compatibility/2006">
          <mc:Choice Requires="x14">
            <control shapeId="2050" r:id="rId6" name="Check Box 2">
              <controlPr defaultSize="0" autoFill="0" autoLine="0" autoPict="0">
                <anchor moveWithCells="1">
                  <from>
                    <xdr:col>3</xdr:col>
                    <xdr:colOff>0</xdr:colOff>
                    <xdr:row>10</xdr:row>
                    <xdr:rowOff>0</xdr:rowOff>
                  </from>
                  <to>
                    <xdr:col>4</xdr:col>
                    <xdr:colOff>19050</xdr:colOff>
                    <xdr:row>13</xdr:row>
                    <xdr:rowOff>0</xdr:rowOff>
                  </to>
                </anchor>
              </controlPr>
            </control>
          </mc:Choice>
        </mc:AlternateContent>
        <mc:AlternateContent xmlns:mc="http://schemas.openxmlformats.org/markup-compatibility/2006">
          <mc:Choice Requires="x14">
            <control shapeId="2051" r:id="rId7" name="Check Box 3">
              <controlPr defaultSize="0" autoFill="0" autoLine="0" autoPict="0">
                <anchor moveWithCells="1">
                  <from>
                    <xdr:col>3</xdr:col>
                    <xdr:colOff>9525</xdr:colOff>
                    <xdr:row>12</xdr:row>
                    <xdr:rowOff>0</xdr:rowOff>
                  </from>
                  <to>
                    <xdr:col>4</xdr:col>
                    <xdr:colOff>28575</xdr:colOff>
                    <xdr:row>15</xdr:row>
                    <xdr:rowOff>19050</xdr:rowOff>
                  </to>
                </anchor>
              </controlPr>
            </control>
          </mc:Choice>
        </mc:AlternateContent>
        <mc:AlternateContent xmlns:mc="http://schemas.openxmlformats.org/markup-compatibility/2006">
          <mc:Choice Requires="x14">
            <control shapeId="2052" r:id="rId8" name="Check Box 4">
              <controlPr defaultSize="0" autoFill="0" autoLine="0" autoPict="0">
                <anchor moveWithCells="1">
                  <from>
                    <xdr:col>3</xdr:col>
                    <xdr:colOff>9525</xdr:colOff>
                    <xdr:row>13</xdr:row>
                    <xdr:rowOff>161925</xdr:rowOff>
                  </from>
                  <to>
                    <xdr:col>4</xdr:col>
                    <xdr:colOff>28575</xdr:colOff>
                    <xdr:row>17</xdr:row>
                    <xdr:rowOff>9525</xdr:rowOff>
                  </to>
                </anchor>
              </controlPr>
            </control>
          </mc:Choice>
        </mc:AlternateContent>
        <mc:AlternateContent xmlns:mc="http://schemas.openxmlformats.org/markup-compatibility/2006">
          <mc:Choice Requires="x14">
            <control shapeId="2053" r:id="rId9" name="Check Box 5">
              <controlPr defaultSize="0" autoFill="0" autoLine="0" autoPict="0">
                <anchor moveWithCells="1">
                  <from>
                    <xdr:col>3</xdr:col>
                    <xdr:colOff>9525</xdr:colOff>
                    <xdr:row>16</xdr:row>
                    <xdr:rowOff>9525</xdr:rowOff>
                  </from>
                  <to>
                    <xdr:col>4</xdr:col>
                    <xdr:colOff>28575</xdr:colOff>
                    <xdr:row>19</xdr:row>
                    <xdr:rowOff>9525</xdr:rowOff>
                  </to>
                </anchor>
              </controlPr>
            </control>
          </mc:Choice>
        </mc:AlternateContent>
        <mc:AlternateContent xmlns:mc="http://schemas.openxmlformats.org/markup-compatibility/2006">
          <mc:Choice Requires="x14">
            <control shapeId="2054" r:id="rId10" name="Check Box 6">
              <controlPr defaultSize="0" autoFill="0" autoLine="0" autoPict="0">
                <anchor moveWithCells="1">
                  <from>
                    <xdr:col>3</xdr:col>
                    <xdr:colOff>19050</xdr:colOff>
                    <xdr:row>23</xdr:row>
                    <xdr:rowOff>114300</xdr:rowOff>
                  </from>
                  <to>
                    <xdr:col>4</xdr:col>
                    <xdr:colOff>38100</xdr:colOff>
                    <xdr:row>26</xdr:row>
                    <xdr:rowOff>0</xdr:rowOff>
                  </to>
                </anchor>
              </controlPr>
            </control>
          </mc:Choice>
        </mc:AlternateContent>
        <mc:AlternateContent xmlns:mc="http://schemas.openxmlformats.org/markup-compatibility/2006">
          <mc:Choice Requires="x14">
            <control shapeId="2055" r:id="rId11" name="Check Box 7">
              <controlPr defaultSize="0" autoFill="0" autoLine="0" autoPict="0">
                <anchor moveWithCells="1">
                  <from>
                    <xdr:col>3</xdr:col>
                    <xdr:colOff>9525</xdr:colOff>
                    <xdr:row>29</xdr:row>
                    <xdr:rowOff>0</xdr:rowOff>
                  </from>
                  <to>
                    <xdr:col>4</xdr:col>
                    <xdr:colOff>38100</xdr:colOff>
                    <xdr:row>31</xdr:row>
                    <xdr:rowOff>38100</xdr:rowOff>
                  </to>
                </anchor>
              </controlPr>
            </control>
          </mc:Choice>
        </mc:AlternateContent>
        <mc:AlternateContent xmlns:mc="http://schemas.openxmlformats.org/markup-compatibility/2006">
          <mc:Choice Requires="x14">
            <control shapeId="2056" r:id="rId12" name="Check Box 8">
              <controlPr defaultSize="0" autoFill="0" autoLine="0" autoPict="0">
                <anchor moveWithCells="1">
                  <from>
                    <xdr:col>3</xdr:col>
                    <xdr:colOff>9525</xdr:colOff>
                    <xdr:row>31</xdr:row>
                    <xdr:rowOff>0</xdr:rowOff>
                  </from>
                  <to>
                    <xdr:col>4</xdr:col>
                    <xdr:colOff>38100</xdr:colOff>
                    <xdr:row>34</xdr:row>
                    <xdr:rowOff>0</xdr:rowOff>
                  </to>
                </anchor>
              </controlPr>
            </control>
          </mc:Choice>
        </mc:AlternateContent>
        <mc:AlternateContent xmlns:mc="http://schemas.openxmlformats.org/markup-compatibility/2006">
          <mc:Choice Requires="x14">
            <control shapeId="2057" r:id="rId13" name="Check Box 9">
              <controlPr defaultSize="0" autoFill="0" autoLine="0" autoPict="0">
                <anchor moveWithCells="1">
                  <from>
                    <xdr:col>3</xdr:col>
                    <xdr:colOff>9525</xdr:colOff>
                    <xdr:row>27</xdr:row>
                    <xdr:rowOff>0</xdr:rowOff>
                  </from>
                  <to>
                    <xdr:col>4</xdr:col>
                    <xdr:colOff>38100</xdr:colOff>
                    <xdr:row>30</xdr:row>
                    <xdr:rowOff>0</xdr:rowOff>
                  </to>
                </anchor>
              </controlPr>
            </control>
          </mc:Choice>
        </mc:AlternateContent>
        <mc:AlternateContent xmlns:mc="http://schemas.openxmlformats.org/markup-compatibility/2006">
          <mc:Choice Requires="x14">
            <control shapeId="2058" r:id="rId14" name="Check Box 10">
              <controlPr defaultSize="0" autoFill="0" autoLine="0" autoPict="0">
                <anchor moveWithCells="1">
                  <from>
                    <xdr:col>3</xdr:col>
                    <xdr:colOff>9525</xdr:colOff>
                    <xdr:row>43</xdr:row>
                    <xdr:rowOff>0</xdr:rowOff>
                  </from>
                  <to>
                    <xdr:col>4</xdr:col>
                    <xdr:colOff>28575</xdr:colOff>
                    <xdr:row>46</xdr:row>
                    <xdr:rowOff>9525</xdr:rowOff>
                  </to>
                </anchor>
              </controlPr>
            </control>
          </mc:Choice>
        </mc:AlternateContent>
        <mc:AlternateContent xmlns:mc="http://schemas.openxmlformats.org/markup-compatibility/2006">
          <mc:Choice Requires="x14">
            <control shapeId="2059" r:id="rId15" name="Check Box 11">
              <controlPr defaultSize="0" autoFill="0" autoLine="0" autoPict="0">
                <anchor moveWithCells="1">
                  <from>
                    <xdr:col>3</xdr:col>
                    <xdr:colOff>9525</xdr:colOff>
                    <xdr:row>45</xdr:row>
                    <xdr:rowOff>0</xdr:rowOff>
                  </from>
                  <to>
                    <xdr:col>4</xdr:col>
                    <xdr:colOff>28575</xdr:colOff>
                    <xdr:row>47</xdr:row>
                    <xdr:rowOff>66675</xdr:rowOff>
                  </to>
                </anchor>
              </controlPr>
            </control>
          </mc:Choice>
        </mc:AlternateContent>
        <mc:AlternateContent xmlns:mc="http://schemas.openxmlformats.org/markup-compatibility/2006">
          <mc:Choice Requires="x14">
            <control shapeId="2060" r:id="rId16" name="Check Box 12">
              <controlPr defaultSize="0" autoFill="0" autoLine="0" autoPict="0">
                <anchor moveWithCells="1">
                  <from>
                    <xdr:col>3</xdr:col>
                    <xdr:colOff>9525</xdr:colOff>
                    <xdr:row>41</xdr:row>
                    <xdr:rowOff>0</xdr:rowOff>
                  </from>
                  <to>
                    <xdr:col>4</xdr:col>
                    <xdr:colOff>28575</xdr:colOff>
                    <xdr:row>44</xdr:row>
                    <xdr:rowOff>0</xdr:rowOff>
                  </to>
                </anchor>
              </controlPr>
            </control>
          </mc:Choice>
        </mc:AlternateContent>
        <mc:AlternateContent xmlns:mc="http://schemas.openxmlformats.org/markup-compatibility/2006">
          <mc:Choice Requires="x14">
            <control shapeId="2061" r:id="rId17" name="Check Box 13">
              <controlPr defaultSize="0" autoFill="0" autoLine="0" autoPict="0">
                <anchor moveWithCells="1">
                  <from>
                    <xdr:col>3</xdr:col>
                    <xdr:colOff>9525</xdr:colOff>
                    <xdr:row>63</xdr:row>
                    <xdr:rowOff>0</xdr:rowOff>
                  </from>
                  <to>
                    <xdr:col>4</xdr:col>
                    <xdr:colOff>28575</xdr:colOff>
                    <xdr:row>66</xdr:row>
                    <xdr:rowOff>19050</xdr:rowOff>
                  </to>
                </anchor>
              </controlPr>
            </control>
          </mc:Choice>
        </mc:AlternateContent>
        <mc:AlternateContent xmlns:mc="http://schemas.openxmlformats.org/markup-compatibility/2006">
          <mc:Choice Requires="x14">
            <control shapeId="2062" r:id="rId18" name="Check Box 14">
              <controlPr defaultSize="0" autoFill="0" autoLine="0" autoPict="0">
                <anchor moveWithCells="1">
                  <from>
                    <xdr:col>3</xdr:col>
                    <xdr:colOff>9525</xdr:colOff>
                    <xdr:row>65</xdr:row>
                    <xdr:rowOff>0</xdr:rowOff>
                  </from>
                  <to>
                    <xdr:col>4</xdr:col>
                    <xdr:colOff>38100</xdr:colOff>
                    <xdr:row>67</xdr:row>
                    <xdr:rowOff>66675</xdr:rowOff>
                  </to>
                </anchor>
              </controlPr>
            </control>
          </mc:Choice>
        </mc:AlternateContent>
        <mc:AlternateContent xmlns:mc="http://schemas.openxmlformats.org/markup-compatibility/2006">
          <mc:Choice Requires="x14">
            <control shapeId="2063" r:id="rId19" name="Check Box 15">
              <controlPr defaultSize="0" autoFill="0" autoLine="0" autoPict="0">
                <anchor moveWithCells="1">
                  <from>
                    <xdr:col>3</xdr:col>
                    <xdr:colOff>9525</xdr:colOff>
                    <xdr:row>25</xdr:row>
                    <xdr:rowOff>0</xdr:rowOff>
                  </from>
                  <to>
                    <xdr:col>4</xdr:col>
                    <xdr:colOff>38100</xdr:colOff>
                    <xdr:row>28</xdr:row>
                    <xdr:rowOff>0</xdr:rowOff>
                  </to>
                </anchor>
              </controlPr>
            </control>
          </mc:Choice>
        </mc:AlternateContent>
        <mc:AlternateContent xmlns:mc="http://schemas.openxmlformats.org/markup-compatibility/2006">
          <mc:Choice Requires="x14">
            <control shapeId="2066" r:id="rId20" name="Check Box 18">
              <controlPr defaultSize="0" autoFill="0" autoLine="0" autoPict="0">
                <anchor moveWithCells="1">
                  <from>
                    <xdr:col>3</xdr:col>
                    <xdr:colOff>9525</xdr:colOff>
                    <xdr:row>17</xdr:row>
                    <xdr:rowOff>180975</xdr:rowOff>
                  </from>
                  <to>
                    <xdr:col>4</xdr:col>
                    <xdr:colOff>28575</xdr:colOff>
                    <xdr:row>21</xdr:row>
                    <xdr:rowOff>9525</xdr:rowOff>
                  </to>
                </anchor>
              </controlPr>
            </control>
          </mc:Choice>
        </mc:AlternateContent>
        <mc:AlternateContent xmlns:mc="http://schemas.openxmlformats.org/markup-compatibility/2006">
          <mc:Choice Requires="x14">
            <control shapeId="2068" r:id="rId21" name="Check Box 20">
              <controlPr defaultSize="0" autoFill="0" autoLine="0" autoPict="0">
                <anchor moveWithCells="1">
                  <from>
                    <xdr:col>3</xdr:col>
                    <xdr:colOff>9525</xdr:colOff>
                    <xdr:row>55</xdr:row>
                    <xdr:rowOff>104775</xdr:rowOff>
                  </from>
                  <to>
                    <xdr:col>4</xdr:col>
                    <xdr:colOff>28575</xdr:colOff>
                    <xdr:row>57</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7"/>
  <dimension ref="A2:AC47"/>
  <sheetViews>
    <sheetView showGridLines="0" view="pageBreakPreview" zoomScale="80" zoomScaleNormal="100" zoomScaleSheetLayoutView="80" workbookViewId="0">
      <selection activeCell="M8" sqref="M8"/>
    </sheetView>
  </sheetViews>
  <sheetFormatPr baseColWidth="10" defaultRowHeight="12.75" x14ac:dyDescent="0.2"/>
  <cols>
    <col min="1" max="6" width="3.7109375" customWidth="1"/>
    <col min="7" max="7" width="4.5703125" customWidth="1"/>
    <col min="8" max="11" width="3.7109375" customWidth="1"/>
    <col min="12" max="12" width="5.7109375" customWidth="1"/>
    <col min="13" max="13" width="4.42578125" customWidth="1"/>
    <col min="14" max="14" width="22.28515625" customWidth="1"/>
    <col min="15" max="15" width="3.7109375" customWidth="1"/>
    <col min="16" max="16" width="6.42578125" customWidth="1"/>
    <col min="17" max="17" width="4.85546875" customWidth="1"/>
    <col min="18" max="28" width="3.7109375" customWidth="1"/>
    <col min="29" max="29" width="1.85546875" customWidth="1"/>
  </cols>
  <sheetData>
    <row r="2" spans="1:29" ht="56.45" customHeight="1" x14ac:dyDescent="0.2">
      <c r="L2" s="370" t="s">
        <v>149</v>
      </c>
      <c r="M2" s="371"/>
      <c r="N2" s="371"/>
      <c r="O2" s="371"/>
      <c r="P2" s="371"/>
      <c r="Q2" s="371"/>
      <c r="R2" s="371"/>
      <c r="S2" s="371"/>
      <c r="T2" s="371"/>
      <c r="U2" s="371"/>
      <c r="V2" s="371"/>
      <c r="W2" s="371"/>
      <c r="X2" s="371"/>
      <c r="Y2" s="371"/>
      <c r="Z2" s="371"/>
      <c r="AA2" s="372"/>
    </row>
    <row r="3" spans="1:29" ht="15" x14ac:dyDescent="0.25">
      <c r="A3" s="378" t="s">
        <v>17</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15"/>
      <c r="AC3" s="15"/>
    </row>
    <row r="4" spans="1:29" ht="15" x14ac:dyDescent="0.25">
      <c r="A4" s="15"/>
      <c r="B4" s="13"/>
      <c r="C4" s="14"/>
      <c r="D4" s="14"/>
      <c r="E4" s="14"/>
      <c r="F4" s="14"/>
      <c r="G4" s="14"/>
      <c r="H4" s="14"/>
      <c r="I4" s="14"/>
      <c r="J4" s="14"/>
      <c r="K4" s="14"/>
      <c r="L4" s="14"/>
      <c r="M4" s="14"/>
      <c r="N4" s="14"/>
      <c r="O4" s="14"/>
      <c r="P4" s="14"/>
      <c r="Q4" s="14"/>
      <c r="R4" s="14"/>
      <c r="S4" s="14"/>
      <c r="T4" s="14"/>
      <c r="U4" s="14"/>
      <c r="V4" s="14"/>
      <c r="W4" s="14"/>
      <c r="X4" s="14"/>
      <c r="Y4" s="14"/>
      <c r="Z4" s="13"/>
      <c r="AA4" s="13"/>
      <c r="AB4" s="13"/>
      <c r="AC4" s="13"/>
    </row>
    <row r="5" spans="1:29" ht="15" x14ac:dyDescent="0.25">
      <c r="A5" s="15"/>
      <c r="B5" s="13"/>
      <c r="C5" s="14"/>
      <c r="D5" s="14"/>
      <c r="E5" s="14"/>
      <c r="F5" s="14"/>
      <c r="G5" s="14"/>
      <c r="H5" s="14"/>
      <c r="I5" s="14"/>
      <c r="J5" s="14"/>
      <c r="K5" s="14"/>
      <c r="L5" s="14"/>
      <c r="M5" s="14"/>
      <c r="N5" s="14"/>
      <c r="O5" s="14"/>
      <c r="P5" s="14"/>
      <c r="Q5" s="14"/>
      <c r="R5" s="14"/>
      <c r="S5" s="14"/>
      <c r="T5" s="14"/>
      <c r="U5" s="14"/>
      <c r="V5" s="14"/>
      <c r="W5" s="14"/>
      <c r="X5" s="14"/>
      <c r="Y5" s="14"/>
      <c r="Z5" s="13"/>
      <c r="AA5" s="13"/>
      <c r="AB5" s="13"/>
      <c r="AC5" s="13"/>
    </row>
    <row r="6" spans="1:29" x14ac:dyDescent="0.2">
      <c r="B6" s="113" t="s">
        <v>101</v>
      </c>
      <c r="C6" s="14"/>
      <c r="D6" s="14"/>
      <c r="E6" s="14"/>
      <c r="F6" s="14"/>
      <c r="G6" s="14"/>
      <c r="H6" s="14"/>
      <c r="I6" s="14"/>
      <c r="J6" s="14"/>
      <c r="K6" s="14"/>
      <c r="L6" s="14"/>
      <c r="M6" s="14"/>
      <c r="N6" s="14"/>
      <c r="O6" s="14"/>
      <c r="P6" s="14"/>
      <c r="Q6" s="14"/>
      <c r="R6" s="14"/>
      <c r="S6" s="14"/>
      <c r="T6" s="14"/>
      <c r="U6" s="14"/>
      <c r="V6" s="14"/>
      <c r="W6" s="14"/>
      <c r="X6" s="14"/>
      <c r="Y6" s="14"/>
      <c r="Z6" s="13"/>
      <c r="AA6" s="13"/>
      <c r="AB6" s="13"/>
      <c r="AC6" s="13"/>
    </row>
    <row r="7" spans="1:29" ht="15" x14ac:dyDescent="0.25">
      <c r="A7" s="71"/>
    </row>
    <row r="8" spans="1:29" s="2" customFormat="1" ht="12.75" customHeight="1" x14ac:dyDescent="0.25">
      <c r="B8" s="80" t="s">
        <v>81</v>
      </c>
      <c r="F8" s="31"/>
      <c r="G8" s="31"/>
      <c r="H8" s="31"/>
      <c r="I8" s="31"/>
      <c r="J8" s="31"/>
      <c r="K8" s="31"/>
      <c r="L8" s="31"/>
      <c r="M8" s="263"/>
      <c r="N8" s="263"/>
      <c r="O8" s="263"/>
      <c r="P8" s="263"/>
      <c r="Q8" s="263"/>
      <c r="R8" s="263"/>
      <c r="S8" s="263"/>
      <c r="T8" s="263"/>
      <c r="U8" s="263"/>
      <c r="V8" s="263"/>
      <c r="W8" s="263"/>
      <c r="X8" s="263"/>
      <c r="Y8" s="263"/>
      <c r="Z8" s="263"/>
      <c r="AA8" s="263"/>
    </row>
    <row r="9" spans="1:29" s="2" customFormat="1" x14ac:dyDescent="0.2">
      <c r="E9" s="14"/>
      <c r="F9" s="14"/>
      <c r="G9" s="14"/>
      <c r="H9" s="14"/>
      <c r="I9" s="14"/>
      <c r="J9" s="14"/>
      <c r="K9" s="14"/>
      <c r="L9" s="14"/>
      <c r="M9" s="14"/>
      <c r="N9" s="14"/>
      <c r="O9" s="3"/>
      <c r="P9" s="3"/>
    </row>
    <row r="10" spans="1:29" s="2" customFormat="1" ht="12.75" customHeight="1" x14ac:dyDescent="0.25">
      <c r="B10" s="379"/>
      <c r="C10" s="379"/>
      <c r="D10" s="379"/>
      <c r="E10" s="379"/>
      <c r="F10" s="379"/>
      <c r="G10" s="379"/>
      <c r="H10" s="379"/>
      <c r="I10" s="379"/>
      <c r="J10" s="379"/>
      <c r="K10" s="379"/>
      <c r="L10" s="379"/>
      <c r="M10" s="379"/>
      <c r="N10" s="379"/>
      <c r="O10" s="379"/>
      <c r="P10" s="379"/>
      <c r="Q10" s="379"/>
      <c r="R10" s="379"/>
      <c r="S10" s="379"/>
      <c r="T10" s="379"/>
      <c r="U10" s="379"/>
      <c r="V10" s="379"/>
      <c r="W10" s="379"/>
      <c r="X10" s="379"/>
      <c r="Y10" s="379"/>
      <c r="Z10" s="379"/>
      <c r="AA10" s="379"/>
    </row>
    <row r="11" spans="1:29" s="2" customFormat="1" ht="12.75" customHeight="1" x14ac:dyDescent="0.2">
      <c r="Z11" s="69"/>
      <c r="AA11" s="69"/>
    </row>
    <row r="12" spans="1:29" s="2" customFormat="1" ht="12.75" customHeight="1" x14ac:dyDescent="0.25">
      <c r="B12" s="80" t="s">
        <v>82</v>
      </c>
      <c r="E12" s="14"/>
      <c r="F12" s="14"/>
      <c r="G12" s="14"/>
      <c r="H12" s="14"/>
      <c r="I12" s="14"/>
      <c r="J12" s="72"/>
      <c r="K12" s="72"/>
      <c r="L12" s="72"/>
      <c r="M12" s="72"/>
      <c r="N12" s="72"/>
      <c r="Q12" s="377"/>
      <c r="R12" s="377"/>
      <c r="S12" s="377"/>
      <c r="T12" s="377"/>
      <c r="U12" s="377"/>
      <c r="V12" s="377"/>
      <c r="W12" s="377"/>
      <c r="X12" s="377"/>
      <c r="Y12" s="377"/>
      <c r="Z12" s="377"/>
      <c r="AA12" s="377"/>
    </row>
    <row r="13" spans="1:29" s="2" customFormat="1" ht="10.5" customHeight="1" x14ac:dyDescent="0.2">
      <c r="E13" s="14"/>
      <c r="F13" s="14"/>
      <c r="J13" s="14"/>
      <c r="K13" s="14"/>
      <c r="L13" s="14"/>
      <c r="M13" s="14"/>
      <c r="N13" s="14"/>
      <c r="O13" s="3"/>
      <c r="P13" s="3"/>
    </row>
    <row r="14" spans="1:29" s="2" customFormat="1" ht="15" customHeight="1" x14ac:dyDescent="0.25">
      <c r="B14" s="80" t="s">
        <v>83</v>
      </c>
      <c r="C14"/>
      <c r="D14"/>
      <c r="E14"/>
      <c r="F14"/>
      <c r="G14"/>
      <c r="H14"/>
      <c r="I14"/>
      <c r="J14"/>
      <c r="K14"/>
      <c r="L14"/>
      <c r="N14" s="225"/>
      <c r="O14" s="1" t="s">
        <v>70</v>
      </c>
      <c r="P14"/>
      <c r="Q14"/>
      <c r="R14"/>
      <c r="S14"/>
      <c r="T14"/>
      <c r="U14"/>
      <c r="V14"/>
      <c r="W14"/>
      <c r="X14"/>
      <c r="Y14"/>
      <c r="Z14"/>
      <c r="AA14"/>
      <c r="AB14"/>
      <c r="AC14"/>
    </row>
    <row r="15" spans="1:29" s="2" customFormat="1" ht="12" customHeight="1" x14ac:dyDescent="0.2">
      <c r="A15"/>
      <c r="B15"/>
      <c r="C15"/>
      <c r="D15"/>
      <c r="E15"/>
      <c r="F15"/>
      <c r="G15"/>
      <c r="H15"/>
      <c r="I15"/>
      <c r="J15"/>
      <c r="K15"/>
      <c r="L15"/>
      <c r="M15"/>
      <c r="N15"/>
      <c r="O15"/>
      <c r="P15"/>
      <c r="Q15"/>
      <c r="R15"/>
      <c r="S15"/>
      <c r="T15"/>
      <c r="U15"/>
      <c r="V15"/>
      <c r="W15"/>
      <c r="X15"/>
      <c r="Y15"/>
      <c r="Z15"/>
      <c r="AA15"/>
      <c r="AB15"/>
      <c r="AC15"/>
    </row>
    <row r="16" spans="1:29" ht="12" customHeight="1" x14ac:dyDescent="0.2"/>
    <row r="18" spans="2:28" ht="54.95" customHeight="1" x14ac:dyDescent="0.2">
      <c r="B18" s="376" t="s">
        <v>128</v>
      </c>
      <c r="C18" s="376"/>
      <c r="D18" s="376"/>
      <c r="E18" s="376"/>
      <c r="F18" s="376"/>
      <c r="G18" s="376"/>
      <c r="H18" s="376"/>
      <c r="I18" s="376"/>
      <c r="J18" s="376"/>
      <c r="K18" s="376"/>
      <c r="L18" s="376"/>
      <c r="M18" s="376"/>
      <c r="N18" s="376"/>
      <c r="O18" s="376"/>
      <c r="P18" s="376"/>
      <c r="Q18" s="376"/>
      <c r="R18" s="376"/>
      <c r="S18" s="376"/>
      <c r="T18" s="376"/>
      <c r="U18" s="376"/>
      <c r="V18" s="376"/>
      <c r="W18" s="376"/>
      <c r="X18" s="376"/>
      <c r="Y18" s="376"/>
      <c r="Z18" s="376"/>
      <c r="AA18" s="376"/>
      <c r="AB18" s="147"/>
    </row>
    <row r="20" spans="2:28" x14ac:dyDescent="0.2">
      <c r="B20" s="380" t="s">
        <v>162</v>
      </c>
      <c r="C20" s="381"/>
      <c r="D20" s="381"/>
      <c r="E20" s="381"/>
      <c r="F20" s="381"/>
      <c r="G20" s="381"/>
      <c r="H20" s="381"/>
      <c r="I20" s="381"/>
      <c r="J20" s="381"/>
      <c r="K20" s="381"/>
      <c r="L20" s="381"/>
      <c r="M20" s="381"/>
      <c r="N20" s="381"/>
      <c r="O20" s="381"/>
      <c r="P20" s="381"/>
      <c r="Q20" s="381"/>
      <c r="R20" s="381"/>
      <c r="S20" s="381"/>
      <c r="T20" s="381"/>
      <c r="U20" s="381"/>
      <c r="V20" s="381"/>
      <c r="W20" s="381"/>
      <c r="X20" s="381"/>
      <c r="Y20" s="381"/>
      <c r="Z20" s="381"/>
      <c r="AA20" s="381"/>
      <c r="AB20" s="381"/>
    </row>
    <row r="21" spans="2:28" x14ac:dyDescent="0.2">
      <c r="B21" s="381"/>
      <c r="C21" s="381"/>
      <c r="D21" s="381"/>
      <c r="E21" s="381"/>
      <c r="F21" s="381"/>
      <c r="G21" s="381"/>
      <c r="H21" s="381"/>
      <c r="I21" s="381"/>
      <c r="J21" s="381"/>
      <c r="K21" s="381"/>
      <c r="L21" s="381"/>
      <c r="M21" s="381"/>
      <c r="N21" s="381"/>
      <c r="O21" s="381"/>
      <c r="P21" s="381"/>
      <c r="Q21" s="381"/>
      <c r="R21" s="381"/>
      <c r="S21" s="381"/>
      <c r="T21" s="381"/>
      <c r="U21" s="381"/>
      <c r="V21" s="381"/>
      <c r="W21" s="381"/>
      <c r="X21" s="381"/>
      <c r="Y21" s="381"/>
      <c r="Z21" s="381"/>
      <c r="AA21" s="381"/>
      <c r="AB21" s="381"/>
    </row>
    <row r="22" spans="2:28" x14ac:dyDescent="0.2">
      <c r="B22" s="381"/>
      <c r="C22" s="381"/>
      <c r="D22" s="381"/>
      <c r="E22" s="381"/>
      <c r="F22" s="381"/>
      <c r="G22" s="381"/>
      <c r="H22" s="381"/>
      <c r="I22" s="381"/>
      <c r="J22" s="381"/>
      <c r="K22" s="381"/>
      <c r="L22" s="381"/>
      <c r="M22" s="381"/>
      <c r="N22" s="381"/>
      <c r="O22" s="381"/>
      <c r="P22" s="381"/>
      <c r="Q22" s="381"/>
      <c r="R22" s="381"/>
      <c r="S22" s="381"/>
      <c r="T22" s="381"/>
      <c r="U22" s="381"/>
      <c r="V22" s="381"/>
      <c r="W22" s="381"/>
      <c r="X22" s="381"/>
      <c r="Y22" s="381"/>
      <c r="Z22" s="381"/>
      <c r="AA22" s="381"/>
      <c r="AB22" s="381"/>
    </row>
    <row r="23" spans="2:28" x14ac:dyDescent="0.2">
      <c r="B23" s="381"/>
      <c r="C23" s="381"/>
      <c r="D23" s="381"/>
      <c r="E23" s="381"/>
      <c r="F23" s="381"/>
      <c r="G23" s="381"/>
      <c r="H23" s="381"/>
      <c r="I23" s="381"/>
      <c r="J23" s="381"/>
      <c r="K23" s="381"/>
      <c r="L23" s="381"/>
      <c r="M23" s="381"/>
      <c r="N23" s="381"/>
      <c r="O23" s="381"/>
      <c r="P23" s="381"/>
      <c r="Q23" s="381"/>
      <c r="R23" s="381"/>
      <c r="S23" s="381"/>
      <c r="T23" s="381"/>
      <c r="U23" s="381"/>
      <c r="V23" s="381"/>
      <c r="W23" s="381"/>
      <c r="X23" s="381"/>
      <c r="Y23" s="381"/>
      <c r="Z23" s="381"/>
      <c r="AA23" s="381"/>
      <c r="AB23" s="381"/>
    </row>
    <row r="25" spans="2:28" x14ac:dyDescent="0.2">
      <c r="B25" s="80" t="s">
        <v>84</v>
      </c>
    </row>
    <row r="26" spans="2:28" x14ac:dyDescent="0.2">
      <c r="B26" t="s">
        <v>65</v>
      </c>
    </row>
    <row r="27" spans="2:28" x14ac:dyDescent="0.2">
      <c r="B27" s="80" t="s">
        <v>85</v>
      </c>
    </row>
    <row r="28" spans="2:28" x14ac:dyDescent="0.2">
      <c r="B28" s="1" t="s">
        <v>66</v>
      </c>
    </row>
    <row r="31" spans="2:28" x14ac:dyDescent="0.2">
      <c r="B31" s="18" t="s">
        <v>86</v>
      </c>
      <c r="C31" s="18"/>
      <c r="D31" s="18"/>
      <c r="E31" s="18"/>
      <c r="F31" s="18"/>
      <c r="G31" s="18"/>
      <c r="H31" s="18"/>
      <c r="I31" s="97"/>
      <c r="J31" s="87"/>
      <c r="K31" s="88"/>
      <c r="L31" s="89"/>
      <c r="M31" s="89"/>
      <c r="N31" s="89"/>
      <c r="O31" s="90"/>
      <c r="P31" s="90"/>
      <c r="Q31" s="90"/>
      <c r="R31" s="90"/>
      <c r="S31" s="90"/>
      <c r="T31" s="90"/>
      <c r="U31" s="90"/>
      <c r="V31" s="90"/>
      <c r="W31" s="90"/>
      <c r="X31" s="90"/>
      <c r="Y31" s="90"/>
      <c r="Z31" s="90"/>
      <c r="AA31" s="90"/>
      <c r="AB31" s="91"/>
    </row>
    <row r="32" spans="2:28" x14ac:dyDescent="0.2">
      <c r="K32" s="92"/>
      <c r="O32" s="77"/>
      <c r="P32" s="77"/>
      <c r="Q32" s="77"/>
      <c r="R32" s="77"/>
      <c r="S32" s="77"/>
      <c r="T32" s="77"/>
      <c r="U32" s="77"/>
      <c r="V32" s="77"/>
      <c r="W32" s="77"/>
      <c r="X32" s="77"/>
      <c r="Y32" s="77"/>
      <c r="Z32" s="77"/>
      <c r="AA32" s="77"/>
      <c r="AB32" s="93"/>
    </row>
    <row r="33" spans="1:28" x14ac:dyDescent="0.2">
      <c r="K33" s="92"/>
      <c r="O33" s="77"/>
      <c r="P33" s="77"/>
      <c r="Q33" s="77"/>
      <c r="R33" s="77"/>
      <c r="S33" s="77"/>
      <c r="T33" s="77"/>
      <c r="U33" s="77"/>
      <c r="V33" s="77"/>
      <c r="W33" s="77"/>
      <c r="X33" s="77"/>
      <c r="Y33" s="77"/>
      <c r="Z33" s="77"/>
      <c r="AA33" s="77"/>
      <c r="AB33" s="93"/>
    </row>
    <row r="34" spans="1:28" x14ac:dyDescent="0.2">
      <c r="K34" s="92"/>
      <c r="O34" s="77"/>
      <c r="P34" s="77"/>
      <c r="Q34" s="77"/>
      <c r="R34" s="77"/>
      <c r="S34" s="77"/>
      <c r="T34" s="77"/>
      <c r="U34" s="77"/>
      <c r="V34" s="77"/>
      <c r="W34" s="77"/>
      <c r="X34" s="77"/>
      <c r="Y34" s="77"/>
      <c r="Z34" s="77"/>
      <c r="AA34" s="77"/>
      <c r="AB34" s="93"/>
    </row>
    <row r="35" spans="1:28" x14ac:dyDescent="0.2">
      <c r="A35" s="2"/>
      <c r="K35" s="92"/>
      <c r="O35" s="77"/>
      <c r="P35" s="77"/>
      <c r="Q35" s="77"/>
      <c r="R35" s="77"/>
      <c r="S35" s="77"/>
      <c r="T35" s="77"/>
      <c r="U35" s="77"/>
      <c r="V35" s="77"/>
      <c r="W35" s="77"/>
      <c r="X35" s="77"/>
      <c r="Y35" s="77"/>
      <c r="Z35" s="77"/>
      <c r="AA35" s="77"/>
      <c r="AB35" s="93"/>
    </row>
    <row r="36" spans="1:28" x14ac:dyDescent="0.2">
      <c r="K36" s="92"/>
      <c r="O36" s="77"/>
      <c r="P36" s="77"/>
      <c r="Q36" s="77"/>
      <c r="R36" s="77"/>
      <c r="S36" s="77"/>
      <c r="T36" s="77"/>
      <c r="U36" s="77"/>
      <c r="V36" s="77"/>
      <c r="W36" s="77"/>
      <c r="X36" s="77"/>
      <c r="Y36" s="77"/>
      <c r="Z36" s="77"/>
      <c r="AA36" s="77"/>
      <c r="AB36" s="93"/>
    </row>
    <row r="37" spans="1:28" x14ac:dyDescent="0.2">
      <c r="K37" s="92"/>
      <c r="AB37" s="94"/>
    </row>
    <row r="38" spans="1:28" x14ac:dyDescent="0.2">
      <c r="K38" s="92"/>
      <c r="AB38" s="94"/>
    </row>
    <row r="39" spans="1:28" x14ac:dyDescent="0.2">
      <c r="K39" s="92"/>
      <c r="AB39" s="94"/>
    </row>
    <row r="40" spans="1:28" x14ac:dyDescent="0.2">
      <c r="K40" s="92"/>
      <c r="AB40" s="94"/>
    </row>
    <row r="41" spans="1:28" x14ac:dyDescent="0.2">
      <c r="K41" s="92"/>
      <c r="AB41" s="94"/>
    </row>
    <row r="42" spans="1:28" x14ac:dyDescent="0.2">
      <c r="K42" s="95"/>
      <c r="L42" s="5"/>
      <c r="M42" s="5"/>
      <c r="N42" s="5"/>
      <c r="O42" s="5"/>
      <c r="P42" s="5"/>
      <c r="Q42" s="5"/>
      <c r="R42" s="5"/>
      <c r="S42" s="5"/>
      <c r="T42" s="5"/>
      <c r="U42" s="5"/>
      <c r="V42" s="5"/>
      <c r="W42" s="5"/>
      <c r="X42" s="5"/>
      <c r="Y42" s="5"/>
      <c r="Z42" s="5"/>
      <c r="AA42" s="5"/>
      <c r="AB42" s="96"/>
    </row>
    <row r="45" spans="1:28" ht="15.75" x14ac:dyDescent="0.2">
      <c r="K45" s="373" t="s">
        <v>163</v>
      </c>
      <c r="L45" s="374"/>
      <c r="M45" s="374"/>
      <c r="N45" s="374"/>
      <c r="O45" s="374"/>
      <c r="P45" s="374"/>
      <c r="Q45" s="374"/>
      <c r="R45" s="374"/>
      <c r="S45" s="374"/>
      <c r="T45" s="374"/>
      <c r="U45" s="375"/>
    </row>
    <row r="46" spans="1:28" ht="15.75" x14ac:dyDescent="0.2">
      <c r="J46" s="165"/>
      <c r="K46" s="165"/>
      <c r="L46" s="165"/>
      <c r="M46" s="165"/>
      <c r="N46" s="165"/>
      <c r="O46" s="165"/>
      <c r="P46" s="165"/>
      <c r="Q46" s="165"/>
      <c r="R46" s="165"/>
      <c r="S46" s="165"/>
      <c r="T46" s="165"/>
      <c r="U46" s="165"/>
    </row>
    <row r="47" spans="1:28" ht="15" customHeight="1" x14ac:dyDescent="0.2">
      <c r="I47" s="75"/>
    </row>
  </sheetData>
  <sheetProtection insertRows="0" selectLockedCells="1"/>
  <mergeCells count="7">
    <mergeCell ref="L2:AA2"/>
    <mergeCell ref="K45:U45"/>
    <mergeCell ref="B18:AA18"/>
    <mergeCell ref="Q12:AA12"/>
    <mergeCell ref="A3:AA3"/>
    <mergeCell ref="B10:AA10"/>
    <mergeCell ref="B20:AB23"/>
  </mergeCells>
  <phoneticPr fontId="17" type="noConversion"/>
  <printOptions horizontalCentered="1"/>
  <pageMargins left="0.19685039370078741" right="0.19685039370078741" top="0.51181102362204722" bottom="0.59055118110236227" header="0.51181102362204722" footer="0.31496062992125984"/>
  <pageSetup paperSize="9" scale="70" orientation="portrait" r:id="rId1"/>
  <headerFooter alignWithMargins="0">
    <oddFooter>Page &amp;P&amp;R&amp;F</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AC67"/>
  <sheetViews>
    <sheetView view="pageBreakPreview" zoomScale="80" zoomScaleNormal="100" zoomScaleSheetLayoutView="80" workbookViewId="0">
      <selection activeCell="M7" sqref="M7"/>
    </sheetView>
  </sheetViews>
  <sheetFormatPr baseColWidth="10" defaultColWidth="3.7109375" defaultRowHeight="12.75" x14ac:dyDescent="0.2"/>
  <cols>
    <col min="1" max="4" width="3.7109375" style="132" customWidth="1"/>
    <col min="5" max="5" width="5.28515625" style="132" customWidth="1"/>
    <col min="6" max="6" width="3.7109375" style="132" customWidth="1"/>
    <col min="7" max="7" width="8.28515625" style="132" customWidth="1"/>
    <col min="8" max="11" width="3.7109375" style="132" customWidth="1"/>
    <col min="12" max="12" width="5.7109375" style="132" customWidth="1"/>
    <col min="13" max="13" width="11.140625" style="132" customWidth="1"/>
    <col min="14" max="26" width="3.7109375" style="132" customWidth="1"/>
    <col min="27" max="28" width="3.85546875" style="132" customWidth="1"/>
    <col min="29" max="29" width="6.85546875" style="132" customWidth="1"/>
    <col min="30" max="16384" width="3.7109375" style="132"/>
  </cols>
  <sheetData>
    <row r="1" spans="1:29" x14ac:dyDescent="0.2">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row>
    <row r="2" spans="1:29" ht="51" customHeight="1" x14ac:dyDescent="0.2">
      <c r="A2" s="68"/>
      <c r="B2" s="68"/>
      <c r="C2" s="68"/>
      <c r="D2" s="68"/>
      <c r="E2" s="68"/>
      <c r="F2" s="68"/>
      <c r="G2" s="68"/>
      <c r="H2" s="68"/>
      <c r="I2" s="402" t="s">
        <v>249</v>
      </c>
      <c r="J2" s="403"/>
      <c r="K2" s="403"/>
      <c r="L2" s="403"/>
      <c r="M2" s="403"/>
      <c r="N2" s="403"/>
      <c r="O2" s="403"/>
      <c r="P2" s="403"/>
      <c r="Q2" s="403"/>
      <c r="R2" s="403"/>
      <c r="S2" s="403"/>
      <c r="T2" s="403"/>
      <c r="U2" s="403"/>
      <c r="V2" s="403"/>
      <c r="W2" s="403"/>
      <c r="X2" s="403"/>
      <c r="Y2" s="403"/>
      <c r="Z2" s="403"/>
      <c r="AA2" s="403"/>
      <c r="AB2" s="404"/>
    </row>
    <row r="3" spans="1:29" x14ac:dyDescent="0.2">
      <c r="A3" s="68"/>
      <c r="B3" s="68"/>
      <c r="C3" s="68"/>
      <c r="D3" s="68"/>
      <c r="E3" s="68"/>
      <c r="F3" s="68"/>
      <c r="G3" s="68"/>
      <c r="H3" s="68"/>
      <c r="I3" s="68"/>
      <c r="J3" s="68"/>
      <c r="K3" s="68"/>
      <c r="L3" s="68"/>
      <c r="M3" s="68"/>
      <c r="N3" s="68"/>
      <c r="O3" s="68"/>
      <c r="P3" s="68"/>
      <c r="Q3" s="68"/>
      <c r="R3" s="68"/>
      <c r="S3" s="68"/>
      <c r="T3" s="68"/>
      <c r="U3" s="68"/>
      <c r="V3" s="68"/>
      <c r="W3" s="68"/>
      <c r="X3" s="68"/>
      <c r="Y3" s="68"/>
      <c r="Z3" s="68"/>
      <c r="AA3" s="68"/>
      <c r="AB3" s="68"/>
    </row>
    <row r="4" spans="1:29" x14ac:dyDescent="0.2">
      <c r="A4" s="68"/>
      <c r="B4" s="68"/>
      <c r="C4" s="68"/>
      <c r="D4" s="68"/>
      <c r="E4" s="68"/>
      <c r="F4" s="68"/>
      <c r="G4" s="68"/>
      <c r="H4" s="68"/>
      <c r="I4" s="68"/>
      <c r="J4" s="68"/>
      <c r="K4" s="68"/>
      <c r="L4" s="68"/>
      <c r="M4" s="68"/>
      <c r="N4" s="68"/>
      <c r="O4" s="68"/>
      <c r="P4" s="68"/>
      <c r="Q4" s="68"/>
      <c r="R4" s="68"/>
      <c r="S4" s="68"/>
      <c r="T4" s="68"/>
      <c r="U4" s="68"/>
      <c r="V4" s="68"/>
      <c r="W4" s="68"/>
      <c r="X4" s="68"/>
      <c r="Y4" s="68"/>
      <c r="Z4" s="68"/>
      <c r="AA4" s="68"/>
      <c r="AB4" s="68"/>
    </row>
    <row r="5" spans="1:29" x14ac:dyDescent="0.2">
      <c r="A5" s="68"/>
      <c r="B5" s="135" t="s">
        <v>103</v>
      </c>
      <c r="C5" s="68"/>
      <c r="D5" s="68"/>
      <c r="E5" s="68"/>
      <c r="F5" s="68"/>
      <c r="G5" s="137"/>
      <c r="H5" s="137"/>
      <c r="I5" s="137"/>
      <c r="J5" s="137"/>
      <c r="K5" s="137"/>
      <c r="L5" s="137"/>
      <c r="M5" s="137"/>
      <c r="N5" s="137"/>
      <c r="O5" s="137"/>
      <c r="P5" s="137"/>
      <c r="Q5" s="137"/>
      <c r="R5" s="137"/>
      <c r="S5" s="137"/>
      <c r="T5" s="137"/>
      <c r="U5" s="137"/>
      <c r="V5" s="137"/>
      <c r="W5" s="137"/>
      <c r="X5" s="137"/>
      <c r="Y5" s="137"/>
      <c r="Z5" s="137"/>
      <c r="AA5" s="137"/>
      <c r="AB5" s="137"/>
      <c r="AC5" s="133"/>
    </row>
    <row r="6" spans="1:29" ht="9.9499999999999993" customHeight="1" x14ac:dyDescent="0.2">
      <c r="A6" s="68"/>
      <c r="B6" s="68"/>
      <c r="C6" s="68"/>
      <c r="D6" s="68"/>
      <c r="E6" s="68"/>
      <c r="F6" s="68"/>
      <c r="G6" s="68"/>
      <c r="H6" s="68"/>
      <c r="I6" s="68"/>
      <c r="J6" s="68"/>
      <c r="K6" s="68"/>
      <c r="L6" s="68"/>
      <c r="M6" s="68"/>
      <c r="N6" s="68"/>
      <c r="O6" s="68"/>
      <c r="P6" s="68"/>
      <c r="Q6" s="68"/>
      <c r="R6" s="68"/>
      <c r="S6" s="68"/>
      <c r="T6" s="68"/>
      <c r="U6" s="68"/>
      <c r="V6" s="68"/>
      <c r="W6" s="68"/>
      <c r="X6" s="68"/>
      <c r="Y6" s="68"/>
      <c r="Z6" s="68"/>
      <c r="AA6" s="68"/>
      <c r="AB6" s="68"/>
    </row>
    <row r="7" spans="1:29" s="68" customFormat="1" ht="19.5" customHeight="1" x14ac:dyDescent="0.2">
      <c r="B7" s="135" t="s">
        <v>158</v>
      </c>
      <c r="M7" s="137"/>
      <c r="N7" s="137"/>
      <c r="O7" s="137"/>
      <c r="P7" s="137"/>
      <c r="Q7" s="137"/>
      <c r="R7" s="137"/>
      <c r="S7" s="137"/>
      <c r="T7" s="137"/>
      <c r="U7" s="137"/>
      <c r="V7" s="137"/>
      <c r="W7" s="137"/>
      <c r="X7" s="137"/>
      <c r="Y7" s="137"/>
      <c r="Z7" s="137"/>
      <c r="AA7" s="137"/>
      <c r="AB7" s="138"/>
    </row>
    <row r="8" spans="1:29" ht="9.9499999999999993" customHeight="1" x14ac:dyDescent="0.2">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row>
    <row r="9" spans="1:29" x14ac:dyDescent="0.2">
      <c r="A9"/>
      <c r="B9" s="148" t="s">
        <v>104</v>
      </c>
      <c r="C9"/>
      <c r="D9"/>
      <c r="E9"/>
      <c r="F9"/>
      <c r="G9" s="31"/>
      <c r="H9" s="136"/>
      <c r="I9" s="136"/>
      <c r="J9" s="136"/>
      <c r="K9" s="136"/>
      <c r="L9" s="136"/>
      <c r="M9" s="137"/>
      <c r="N9" s="137"/>
      <c r="O9" s="137"/>
      <c r="P9" s="137"/>
      <c r="Q9" s="137"/>
      <c r="R9" s="137"/>
      <c r="S9" s="137"/>
      <c r="T9" s="137"/>
      <c r="U9" s="137"/>
      <c r="V9" s="137"/>
      <c r="W9" s="137"/>
      <c r="X9" s="137"/>
      <c r="Y9" s="137"/>
      <c r="Z9" s="137"/>
      <c r="AA9" s="137"/>
      <c r="AB9" s="138"/>
    </row>
    <row r="10" spans="1:29" ht="9.9499999999999993" customHeight="1" x14ac:dyDescent="0.2">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row>
    <row r="11" spans="1:29" ht="12.75" customHeight="1" x14ac:dyDescent="0.2">
      <c r="A11" s="68"/>
      <c r="B11" s="135" t="s">
        <v>105</v>
      </c>
      <c r="C11" s="68"/>
      <c r="D11" s="68"/>
      <c r="E11" s="68"/>
      <c r="F11" s="68"/>
      <c r="G11" s="68"/>
      <c r="H11" s="68"/>
      <c r="I11" s="68"/>
      <c r="J11" s="68"/>
      <c r="K11" s="68"/>
      <c r="L11" s="68"/>
      <c r="M11" s="136" t="s">
        <v>106</v>
      </c>
      <c r="N11" s="137"/>
      <c r="O11" s="136"/>
      <c r="P11" s="136"/>
      <c r="Q11" s="136"/>
      <c r="R11" s="136"/>
      <c r="S11" s="136" t="s">
        <v>107</v>
      </c>
      <c r="T11" s="136"/>
      <c r="U11" s="136"/>
      <c r="V11" s="136"/>
      <c r="W11" s="136"/>
      <c r="X11" s="137"/>
      <c r="Y11" s="136"/>
      <c r="Z11" s="136"/>
      <c r="AA11" s="136"/>
      <c r="AB11" s="136"/>
    </row>
    <row r="12" spans="1:29" ht="9.9499999999999993" customHeight="1" x14ac:dyDescent="0.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row>
    <row r="13" spans="1:29" s="143" customFormat="1" ht="24.75" customHeight="1" x14ac:dyDescent="0.2">
      <c r="A13" s="139"/>
      <c r="B13" s="414" t="s">
        <v>108</v>
      </c>
      <c r="C13" s="414"/>
      <c r="D13" s="414"/>
      <c r="E13" s="414"/>
      <c r="F13" s="414"/>
      <c r="G13" s="414"/>
      <c r="H13" s="414"/>
      <c r="I13" s="414"/>
      <c r="J13" s="414"/>
      <c r="K13" s="414"/>
      <c r="L13" s="140"/>
      <c r="M13" s="141"/>
      <c r="N13" s="141"/>
      <c r="O13" s="141"/>
      <c r="P13" s="141"/>
      <c r="Q13" s="141"/>
      <c r="R13" s="141"/>
      <c r="S13" s="141"/>
      <c r="T13" s="141"/>
      <c r="U13" s="141"/>
      <c r="V13" s="141"/>
      <c r="W13" s="141"/>
      <c r="X13" s="141"/>
      <c r="Y13" s="141"/>
      <c r="Z13" s="141"/>
      <c r="AA13" s="141"/>
      <c r="AB13" s="142"/>
    </row>
    <row r="14" spans="1:29" ht="9.9499999999999993" customHeight="1" x14ac:dyDescent="0.2">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row>
    <row r="15" spans="1:29" ht="28.5" customHeight="1" x14ac:dyDescent="0.2">
      <c r="A15" s="68"/>
      <c r="B15" s="414" t="s">
        <v>115</v>
      </c>
      <c r="C15" s="414"/>
      <c r="D15" s="414"/>
      <c r="E15" s="414"/>
      <c r="F15" s="414"/>
      <c r="G15" s="414"/>
      <c r="H15" s="414"/>
      <c r="I15" s="414"/>
      <c r="J15" s="414"/>
      <c r="K15" s="136"/>
      <c r="L15" s="136"/>
      <c r="M15" s="415"/>
      <c r="N15" s="415"/>
      <c r="O15" s="415"/>
      <c r="P15" s="415"/>
      <c r="Q15" s="415"/>
      <c r="R15" s="415"/>
      <c r="S15" s="415"/>
      <c r="T15" s="415"/>
      <c r="U15" s="415"/>
      <c r="V15" s="415"/>
      <c r="W15" s="415"/>
      <c r="X15" s="415"/>
      <c r="Y15" s="415"/>
      <c r="Z15" s="415"/>
      <c r="AA15" s="415"/>
      <c r="AB15" s="416"/>
    </row>
    <row r="16" spans="1:29" ht="9.9499999999999993" customHeight="1" x14ac:dyDescent="0.2">
      <c r="A16" s="68"/>
      <c r="B16" s="76"/>
      <c r="C16" s="76"/>
      <c r="D16" s="76"/>
      <c r="E16" s="76"/>
      <c r="F16" s="76"/>
      <c r="G16" s="76"/>
      <c r="H16" s="76"/>
      <c r="I16" s="76"/>
      <c r="J16" s="76"/>
      <c r="K16" s="76"/>
      <c r="L16" s="68"/>
      <c r="M16" s="68"/>
      <c r="N16" s="68"/>
      <c r="O16" s="68"/>
      <c r="P16" s="68"/>
      <c r="Q16" s="68"/>
      <c r="R16" s="68"/>
      <c r="S16" s="68"/>
      <c r="T16" s="68"/>
      <c r="U16" s="68"/>
      <c r="V16" s="68"/>
      <c r="W16" s="68"/>
      <c r="X16" s="68"/>
      <c r="Y16" s="68"/>
      <c r="Z16" s="68"/>
      <c r="AA16" s="68"/>
      <c r="AB16" s="68"/>
    </row>
    <row r="17" spans="1:28" ht="12" customHeight="1" x14ac:dyDescent="0.2">
      <c r="A17" s="68"/>
      <c r="B17" s="382" t="s">
        <v>118</v>
      </c>
      <c r="C17" s="382"/>
      <c r="D17" s="382"/>
      <c r="E17" s="382"/>
      <c r="F17" s="382"/>
      <c r="G17" s="382"/>
      <c r="H17" s="382"/>
      <c r="I17" s="382"/>
      <c r="J17" s="382"/>
      <c r="K17" s="382"/>
      <c r="L17" s="68"/>
      <c r="M17" s="400"/>
      <c r="N17" s="400"/>
      <c r="O17" s="400"/>
      <c r="P17" s="400"/>
      <c r="Q17" s="400"/>
      <c r="R17" s="400"/>
      <c r="S17" s="400"/>
      <c r="T17" s="400"/>
      <c r="U17" s="400"/>
      <c r="V17" s="400"/>
      <c r="W17" s="400"/>
      <c r="X17" s="400"/>
      <c r="Y17" s="400"/>
      <c r="Z17" s="400"/>
      <c r="AA17" s="400"/>
      <c r="AB17" s="401"/>
    </row>
    <row r="18" spans="1:28" ht="9.9499999999999993" customHeight="1" x14ac:dyDescent="0.2">
      <c r="A18" s="68"/>
      <c r="B18" s="76"/>
      <c r="C18" s="76"/>
      <c r="D18" s="76"/>
      <c r="E18" s="76"/>
      <c r="F18" s="76"/>
      <c r="G18" s="76"/>
      <c r="H18" s="76"/>
      <c r="I18" s="76"/>
      <c r="J18" s="76"/>
      <c r="K18" s="76"/>
      <c r="L18" s="68"/>
      <c r="M18" s="68"/>
      <c r="N18" s="68"/>
      <c r="O18" s="68"/>
      <c r="P18" s="68"/>
      <c r="Q18" s="68"/>
      <c r="R18" s="68"/>
      <c r="S18" s="68"/>
      <c r="T18" s="68"/>
      <c r="U18" s="68"/>
      <c r="V18" s="68"/>
      <c r="W18" s="68"/>
      <c r="X18" s="68"/>
      <c r="Y18" s="68"/>
      <c r="Z18" s="68"/>
      <c r="AA18" s="68"/>
      <c r="AB18" s="68"/>
    </row>
    <row r="19" spans="1:28" ht="24" customHeight="1" x14ac:dyDescent="0.2">
      <c r="A19" s="68"/>
      <c r="B19" s="382" t="s">
        <v>119</v>
      </c>
      <c r="C19" s="382"/>
      <c r="D19" s="382"/>
      <c r="E19" s="382"/>
      <c r="F19" s="382"/>
      <c r="G19" s="382"/>
      <c r="H19" s="382"/>
      <c r="I19" s="382"/>
      <c r="J19" s="382"/>
      <c r="K19" s="382"/>
      <c r="L19" s="68"/>
      <c r="M19" s="418"/>
      <c r="N19" s="418"/>
      <c r="O19" s="418"/>
      <c r="P19" s="418"/>
      <c r="Q19" s="418"/>
      <c r="R19" s="418"/>
      <c r="S19" s="418"/>
      <c r="T19" s="418"/>
      <c r="U19" s="418"/>
      <c r="V19" s="418"/>
      <c r="W19" s="418"/>
      <c r="X19" s="418"/>
      <c r="Y19" s="418"/>
      <c r="Z19" s="418"/>
      <c r="AA19" s="418"/>
      <c r="AB19" s="419"/>
    </row>
    <row r="20" spans="1:28" ht="9.9499999999999993" customHeight="1" x14ac:dyDescent="0.2">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row>
    <row r="21" spans="1:28" x14ac:dyDescent="0.2">
      <c r="A21" s="68"/>
      <c r="B21" s="417" t="s">
        <v>109</v>
      </c>
      <c r="C21" s="417"/>
      <c r="D21" s="417"/>
      <c r="E21" s="417"/>
      <c r="F21" s="417"/>
      <c r="G21" s="417"/>
      <c r="H21" s="417"/>
      <c r="I21" s="417"/>
      <c r="J21" s="417"/>
      <c r="K21" s="417"/>
      <c r="L21" s="68"/>
      <c r="M21" s="226" t="s">
        <v>110</v>
      </c>
      <c r="N21"/>
      <c r="O21" s="68"/>
      <c r="P21" s="68"/>
      <c r="Q21" s="68"/>
      <c r="R21" s="68"/>
      <c r="S21" s="68"/>
      <c r="T21" s="68"/>
      <c r="U21" s="68"/>
      <c r="V21" s="68"/>
      <c r="W21" s="68"/>
      <c r="X21" s="68"/>
      <c r="Y21" s="68"/>
      <c r="Z21" s="68"/>
      <c r="AA21" s="68"/>
      <c r="AB21" s="68"/>
    </row>
    <row r="22" spans="1:28" s="180" customFormat="1" ht="22.5" customHeight="1" x14ac:dyDescent="0.2">
      <c r="A22" s="76"/>
      <c r="B22" s="181"/>
      <c r="C22" s="181"/>
      <c r="D22" s="181"/>
      <c r="E22" s="181"/>
      <c r="F22" s="181"/>
      <c r="G22" s="181"/>
      <c r="H22" s="181"/>
      <c r="I22" s="181"/>
      <c r="J22" s="181"/>
      <c r="K22" s="181"/>
      <c r="L22" s="76"/>
      <c r="M22" s="144"/>
      <c r="N22" s="76"/>
      <c r="O22" s="76"/>
      <c r="P22" s="76"/>
      <c r="Q22" s="76"/>
      <c r="R22" s="76"/>
      <c r="S22" s="76"/>
      <c r="T22" s="76"/>
      <c r="U22" s="76"/>
      <c r="V22" s="76"/>
      <c r="W22" s="76"/>
      <c r="X22" s="76"/>
      <c r="Y22" s="76"/>
      <c r="Z22" s="76"/>
      <c r="AA22" s="76"/>
      <c r="AB22" s="76"/>
    </row>
    <row r="23" spans="1:28" ht="12.75" customHeight="1" x14ac:dyDescent="0.2">
      <c r="B23" s="405" t="s">
        <v>134</v>
      </c>
      <c r="C23" s="406"/>
      <c r="D23" s="406"/>
      <c r="E23" s="406"/>
      <c r="F23" s="406"/>
      <c r="G23" s="406"/>
      <c r="H23" s="406"/>
      <c r="I23" s="406"/>
      <c r="J23" s="406"/>
      <c r="K23" s="406"/>
      <c r="L23" s="406"/>
      <c r="M23" s="406"/>
      <c r="N23" s="406"/>
      <c r="O23" s="406"/>
      <c r="P23" s="406"/>
      <c r="Q23" s="406"/>
      <c r="R23" s="406"/>
      <c r="S23" s="406"/>
      <c r="T23" s="406"/>
      <c r="U23" s="406"/>
      <c r="V23" s="406"/>
      <c r="W23" s="406"/>
      <c r="X23" s="406"/>
      <c r="Y23" s="406"/>
      <c r="Z23" s="406"/>
      <c r="AA23" s="406"/>
      <c r="AB23" s="407"/>
    </row>
    <row r="24" spans="1:28" ht="12" customHeight="1" x14ac:dyDescent="0.2">
      <c r="A24" s="68"/>
      <c r="B24" s="408"/>
      <c r="C24" s="409"/>
      <c r="D24" s="409"/>
      <c r="E24" s="409"/>
      <c r="F24" s="409"/>
      <c r="G24" s="409"/>
      <c r="H24" s="409"/>
      <c r="I24" s="409"/>
      <c r="J24" s="409"/>
      <c r="K24" s="409"/>
      <c r="L24" s="409"/>
      <c r="M24" s="409"/>
      <c r="N24" s="409"/>
      <c r="O24" s="409"/>
      <c r="P24" s="409"/>
      <c r="Q24" s="409"/>
      <c r="R24" s="409"/>
      <c r="S24" s="409"/>
      <c r="T24" s="409"/>
      <c r="U24" s="409"/>
      <c r="V24" s="409"/>
      <c r="W24" s="409"/>
      <c r="X24" s="409"/>
      <c r="Y24" s="409"/>
      <c r="Z24" s="409"/>
      <c r="AA24" s="409"/>
      <c r="AB24" s="410"/>
    </row>
    <row r="25" spans="1:28" ht="7.5" customHeight="1" x14ac:dyDescent="0.2">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row>
    <row r="26" spans="1:28" ht="15.95" customHeight="1" x14ac:dyDescent="0.2">
      <c r="A26" s="68"/>
      <c r="B26" s="411"/>
      <c r="C26" s="412"/>
      <c r="D26" s="412"/>
      <c r="E26" s="412"/>
      <c r="F26" s="412"/>
      <c r="G26" s="412"/>
      <c r="H26" s="412"/>
      <c r="I26" s="412"/>
      <c r="J26" s="412"/>
      <c r="K26" s="412"/>
      <c r="L26" s="412"/>
      <c r="M26" s="412"/>
      <c r="N26" s="412"/>
      <c r="O26" s="412"/>
      <c r="P26" s="412"/>
      <c r="Q26" s="412"/>
      <c r="R26" s="412"/>
      <c r="S26" s="412"/>
      <c r="T26" s="412"/>
      <c r="U26" s="412"/>
      <c r="V26" s="412"/>
      <c r="W26" s="412"/>
      <c r="X26" s="412"/>
      <c r="Y26" s="412"/>
      <c r="Z26" s="412"/>
      <c r="AA26" s="412"/>
      <c r="AB26" s="413"/>
    </row>
    <row r="27" spans="1:28" ht="14.25" customHeight="1" x14ac:dyDescent="0.2">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row>
    <row r="28" spans="1:28" x14ac:dyDescent="0.2">
      <c r="A28" s="68"/>
      <c r="B28" s="383" t="s">
        <v>67</v>
      </c>
      <c r="C28" s="384"/>
      <c r="D28" s="384"/>
      <c r="E28" s="384"/>
      <c r="F28" s="384"/>
      <c r="G28" s="384"/>
      <c r="H28" s="384"/>
      <c r="I28" s="384"/>
      <c r="J28" s="384"/>
      <c r="K28" s="384"/>
      <c r="L28" s="384"/>
      <c r="M28" s="384"/>
      <c r="N28" s="384"/>
      <c r="O28" s="384"/>
      <c r="P28" s="384"/>
      <c r="Q28" s="384"/>
      <c r="R28" s="384"/>
      <c r="S28" s="384"/>
      <c r="T28" s="384"/>
      <c r="U28" s="384"/>
      <c r="V28" s="384"/>
      <c r="W28" s="384"/>
      <c r="X28" s="384"/>
      <c r="Y28" s="384"/>
      <c r="Z28" s="384"/>
      <c r="AA28" s="384"/>
      <c r="AB28" s="385"/>
    </row>
    <row r="29" spans="1:28" x14ac:dyDescent="0.2">
      <c r="A29" s="68"/>
      <c r="B29" s="386" t="s">
        <v>159</v>
      </c>
      <c r="C29" s="387"/>
      <c r="D29" s="387"/>
      <c r="E29" s="387"/>
      <c r="F29" s="387"/>
      <c r="G29" s="387"/>
      <c r="H29" s="387"/>
      <c r="I29" s="387"/>
      <c r="J29" s="387"/>
      <c r="K29" s="387"/>
      <c r="L29" s="387"/>
      <c r="M29" s="387"/>
      <c r="N29" s="387"/>
      <c r="O29" s="387"/>
      <c r="P29" s="387"/>
      <c r="Q29" s="387"/>
      <c r="R29" s="387"/>
      <c r="S29" s="387"/>
      <c r="T29" s="387"/>
      <c r="U29" s="387"/>
      <c r="V29" s="387"/>
      <c r="W29" s="387"/>
      <c r="X29" s="387"/>
      <c r="Y29" s="387"/>
      <c r="Z29" s="387"/>
      <c r="AA29" s="387"/>
      <c r="AB29" s="388"/>
    </row>
    <row r="30" spans="1:28" ht="9" customHeight="1" x14ac:dyDescent="0.2">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row>
    <row r="31" spans="1:28" x14ac:dyDescent="0.2">
      <c r="A31" s="68"/>
      <c r="B31" s="389"/>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1"/>
    </row>
    <row r="32" spans="1:28" x14ac:dyDescent="0.2">
      <c r="A32" s="68"/>
      <c r="B32" s="392"/>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c r="AA32" s="393"/>
      <c r="AB32" s="394"/>
    </row>
    <row r="33" spans="1:28" x14ac:dyDescent="0.2">
      <c r="A33" s="68"/>
      <c r="B33" s="392"/>
      <c r="C33" s="393"/>
      <c r="D33" s="393"/>
      <c r="E33" s="393"/>
      <c r="F33" s="393"/>
      <c r="G33" s="393"/>
      <c r="H33" s="393"/>
      <c r="I33" s="393"/>
      <c r="J33" s="393"/>
      <c r="K33" s="393"/>
      <c r="L33" s="393"/>
      <c r="M33" s="393"/>
      <c r="N33" s="393"/>
      <c r="O33" s="393"/>
      <c r="P33" s="393"/>
      <c r="Q33" s="393"/>
      <c r="R33" s="393"/>
      <c r="S33" s="393"/>
      <c r="T33" s="393"/>
      <c r="U33" s="393"/>
      <c r="V33" s="393"/>
      <c r="W33" s="393"/>
      <c r="X33" s="393"/>
      <c r="Y33" s="393"/>
      <c r="Z33" s="393"/>
      <c r="AA33" s="393"/>
      <c r="AB33" s="394"/>
    </row>
    <row r="34" spans="1:28" x14ac:dyDescent="0.2">
      <c r="A34" s="68"/>
      <c r="B34" s="392"/>
      <c r="C34" s="393"/>
      <c r="D34" s="393"/>
      <c r="E34" s="393"/>
      <c r="F34" s="393"/>
      <c r="G34" s="393"/>
      <c r="H34" s="393"/>
      <c r="I34" s="393"/>
      <c r="J34" s="393"/>
      <c r="K34" s="393"/>
      <c r="L34" s="393"/>
      <c r="M34" s="393"/>
      <c r="N34" s="393"/>
      <c r="O34" s="393"/>
      <c r="P34" s="393"/>
      <c r="Q34" s="393"/>
      <c r="R34" s="393"/>
      <c r="S34" s="393"/>
      <c r="T34" s="393"/>
      <c r="U34" s="393"/>
      <c r="V34" s="393"/>
      <c r="W34" s="393"/>
      <c r="X34" s="393"/>
      <c r="Y34" s="393"/>
      <c r="Z34" s="393"/>
      <c r="AA34" s="393"/>
      <c r="AB34" s="394"/>
    </row>
    <row r="35" spans="1:28" x14ac:dyDescent="0.2">
      <c r="A35" s="68"/>
      <c r="B35" s="392"/>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c r="AA35" s="393"/>
      <c r="AB35" s="394"/>
    </row>
    <row r="36" spans="1:28" x14ac:dyDescent="0.2">
      <c r="A36" s="68"/>
      <c r="B36" s="395"/>
      <c r="C36" s="396"/>
      <c r="D36" s="396"/>
      <c r="E36" s="396"/>
      <c r="F36" s="396"/>
      <c r="G36" s="396"/>
      <c r="H36" s="396"/>
      <c r="I36" s="396"/>
      <c r="J36" s="396"/>
      <c r="K36" s="396"/>
      <c r="L36" s="396"/>
      <c r="M36" s="396"/>
      <c r="N36" s="396"/>
      <c r="O36" s="396"/>
      <c r="P36" s="396"/>
      <c r="Q36" s="396"/>
      <c r="R36" s="396"/>
      <c r="S36" s="396"/>
      <c r="T36" s="396"/>
      <c r="U36" s="396"/>
      <c r="V36" s="396"/>
      <c r="W36" s="396"/>
      <c r="X36" s="396"/>
      <c r="Y36" s="396"/>
      <c r="Z36" s="396"/>
      <c r="AA36" s="396"/>
      <c r="AB36" s="397"/>
    </row>
    <row r="38" spans="1:28" ht="12.75" customHeight="1" x14ac:dyDescent="0.2">
      <c r="B38" s="399" t="s">
        <v>164</v>
      </c>
      <c r="C38" s="399"/>
      <c r="D38" s="399"/>
      <c r="E38" s="399"/>
      <c r="F38" s="399"/>
      <c r="G38" s="399"/>
      <c r="H38" s="399"/>
      <c r="I38" s="399"/>
      <c r="J38" s="399"/>
      <c r="K38" s="399"/>
      <c r="L38" s="399"/>
      <c r="M38" s="399"/>
      <c r="N38" s="326"/>
      <c r="O38" s="333"/>
      <c r="P38" s="327"/>
      <c r="Q38" s="327"/>
      <c r="R38" s="327"/>
      <c r="S38" s="327"/>
      <c r="T38" s="327"/>
      <c r="U38" s="327"/>
      <c r="V38" s="327"/>
      <c r="W38" s="327"/>
      <c r="X38" s="327"/>
      <c r="Y38" s="327"/>
      <c r="Z38" s="327"/>
      <c r="AA38" s="327"/>
      <c r="AB38" s="328"/>
    </row>
    <row r="39" spans="1:28" x14ac:dyDescent="0.2">
      <c r="B39" s="399"/>
      <c r="C39" s="399"/>
      <c r="D39" s="399"/>
      <c r="E39" s="399"/>
      <c r="F39" s="399"/>
      <c r="G39" s="399"/>
      <c r="H39" s="399"/>
      <c r="I39" s="399"/>
      <c r="J39" s="399"/>
      <c r="K39" s="399"/>
      <c r="L39" s="399"/>
      <c r="M39" s="399"/>
      <c r="N39" s="326"/>
      <c r="O39" s="334"/>
      <c r="P39" s="329"/>
      <c r="Q39" s="329"/>
      <c r="R39" s="329"/>
      <c r="S39" s="329"/>
      <c r="T39" s="329"/>
      <c r="U39" s="329"/>
      <c r="V39" s="329"/>
      <c r="W39" s="329"/>
      <c r="X39" s="329"/>
      <c r="Y39" s="329"/>
      <c r="Z39" s="329"/>
      <c r="AA39" s="329"/>
      <c r="AB39" s="330"/>
    </row>
    <row r="40" spans="1:28" x14ac:dyDescent="0.2">
      <c r="B40" s="399"/>
      <c r="C40" s="399"/>
      <c r="D40" s="399"/>
      <c r="E40" s="399"/>
      <c r="F40" s="399"/>
      <c r="G40" s="399"/>
      <c r="H40" s="399"/>
      <c r="I40" s="399"/>
      <c r="J40" s="399"/>
      <c r="K40" s="399"/>
      <c r="L40" s="399"/>
      <c r="M40" s="399"/>
      <c r="N40" s="326"/>
      <c r="O40" s="334"/>
      <c r="P40" s="329"/>
      <c r="Q40" s="329"/>
      <c r="R40" s="329"/>
      <c r="S40" s="329"/>
      <c r="T40" s="329"/>
      <c r="U40" s="329"/>
      <c r="V40" s="329"/>
      <c r="W40" s="329"/>
      <c r="X40" s="329"/>
      <c r="Y40" s="329"/>
      <c r="Z40" s="329"/>
      <c r="AA40" s="329"/>
      <c r="AB40" s="330"/>
    </row>
    <row r="41" spans="1:28" x14ac:dyDescent="0.2">
      <c r="B41" s="399"/>
      <c r="C41" s="399"/>
      <c r="D41" s="399"/>
      <c r="E41" s="399"/>
      <c r="F41" s="399"/>
      <c r="G41" s="399"/>
      <c r="H41" s="399"/>
      <c r="I41" s="399"/>
      <c r="J41" s="399"/>
      <c r="K41" s="399"/>
      <c r="L41" s="399"/>
      <c r="M41" s="399"/>
      <c r="N41" s="326"/>
      <c r="O41" s="334"/>
      <c r="P41" s="329"/>
      <c r="Q41" s="329"/>
      <c r="R41" s="329"/>
      <c r="S41" s="329"/>
      <c r="T41" s="329"/>
      <c r="U41" s="329"/>
      <c r="V41" s="329"/>
      <c r="W41" s="329"/>
      <c r="X41" s="329"/>
      <c r="Y41" s="329"/>
      <c r="Z41" s="329"/>
      <c r="AA41" s="329"/>
      <c r="AB41" s="330"/>
    </row>
    <row r="42" spans="1:28" x14ac:dyDescent="0.2">
      <c r="B42" s="399"/>
      <c r="C42" s="399"/>
      <c r="D42" s="399"/>
      <c r="E42" s="399"/>
      <c r="F42" s="399"/>
      <c r="G42" s="399"/>
      <c r="H42" s="399"/>
      <c r="I42" s="399"/>
      <c r="J42" s="399"/>
      <c r="K42" s="399"/>
      <c r="L42" s="399"/>
      <c r="M42" s="399"/>
      <c r="N42" s="326"/>
      <c r="O42" s="334"/>
      <c r="P42" s="329"/>
      <c r="Q42" s="329"/>
      <c r="R42" s="329"/>
      <c r="S42" s="329"/>
      <c r="T42" s="329"/>
      <c r="U42" s="329"/>
      <c r="V42" s="329"/>
      <c r="W42" s="329"/>
      <c r="X42" s="329"/>
      <c r="Y42" s="329"/>
      <c r="Z42" s="329"/>
      <c r="AA42" s="329"/>
      <c r="AB42" s="330"/>
    </row>
    <row r="43" spans="1:28" x14ac:dyDescent="0.2">
      <c r="B43" s="399"/>
      <c r="C43" s="399"/>
      <c r="D43" s="399"/>
      <c r="E43" s="399"/>
      <c r="F43" s="399"/>
      <c r="G43" s="399"/>
      <c r="H43" s="399"/>
      <c r="I43" s="399"/>
      <c r="J43" s="399"/>
      <c r="K43" s="399"/>
      <c r="L43" s="399"/>
      <c r="M43" s="399"/>
      <c r="N43" s="326"/>
      <c r="O43" s="335"/>
      <c r="P43" s="331"/>
      <c r="Q43" s="331"/>
      <c r="R43" s="331"/>
      <c r="S43" s="331"/>
      <c r="T43" s="331"/>
      <c r="U43" s="331"/>
      <c r="V43" s="331"/>
      <c r="W43" s="331"/>
      <c r="X43" s="331"/>
      <c r="Y43" s="331"/>
      <c r="Z43" s="331"/>
      <c r="AA43" s="331"/>
      <c r="AB43" s="332"/>
    </row>
    <row r="45" spans="1:28" s="180" customFormat="1" ht="12" customHeight="1" x14ac:dyDescent="0.2">
      <c r="A45" s="76"/>
      <c r="B45" s="398" t="s">
        <v>130</v>
      </c>
      <c r="C45" s="398"/>
      <c r="D45" s="398"/>
      <c r="E45" s="398"/>
      <c r="F45" s="398"/>
      <c r="G45" s="398"/>
      <c r="H45" s="398"/>
      <c r="I45" s="398"/>
      <c r="J45" s="398"/>
      <c r="K45" s="398"/>
      <c r="L45" s="398"/>
      <c r="M45" s="398"/>
      <c r="N45" s="398"/>
      <c r="O45" s="398"/>
      <c r="P45" s="398"/>
      <c r="Q45" s="398"/>
      <c r="R45" s="398"/>
      <c r="S45" s="398"/>
      <c r="T45" s="398"/>
      <c r="U45" s="398"/>
      <c r="V45" s="398"/>
      <c r="W45" s="398"/>
      <c r="X45" s="398"/>
      <c r="Y45" s="398"/>
      <c r="Z45" s="398"/>
      <c r="AA45" s="398"/>
      <c r="AB45" s="398"/>
    </row>
    <row r="46" spans="1:28" s="180" customFormat="1" ht="12" customHeight="1" x14ac:dyDescent="0.2">
      <c r="A46" s="76"/>
      <c r="B46" s="398"/>
      <c r="C46" s="398"/>
      <c r="D46" s="398"/>
      <c r="E46" s="398"/>
      <c r="F46" s="398"/>
      <c r="G46" s="398"/>
      <c r="H46" s="398"/>
      <c r="I46" s="398"/>
      <c r="J46" s="398"/>
      <c r="K46" s="398"/>
      <c r="L46" s="398"/>
      <c r="M46" s="398"/>
      <c r="N46" s="398"/>
      <c r="O46" s="398"/>
      <c r="P46" s="398"/>
      <c r="Q46" s="398"/>
      <c r="R46" s="398"/>
      <c r="S46" s="398"/>
      <c r="T46" s="398"/>
      <c r="U46" s="398"/>
      <c r="V46" s="398"/>
      <c r="W46" s="398"/>
      <c r="X46" s="398"/>
      <c r="Y46" s="398"/>
      <c r="Z46" s="398"/>
      <c r="AA46" s="398"/>
      <c r="AB46" s="398"/>
    </row>
    <row r="47" spans="1:28" s="180" customFormat="1" ht="14.25" customHeight="1" x14ac:dyDescent="0.2">
      <c r="A47" s="76"/>
      <c r="B47" s="398"/>
      <c r="C47" s="398"/>
      <c r="D47" s="398"/>
      <c r="E47" s="398"/>
      <c r="F47" s="398"/>
      <c r="G47" s="398"/>
      <c r="H47" s="398"/>
      <c r="I47" s="398"/>
      <c r="J47" s="398"/>
      <c r="K47" s="398"/>
      <c r="L47" s="398"/>
      <c r="M47" s="398"/>
      <c r="N47" s="398"/>
      <c r="O47" s="398"/>
      <c r="P47" s="398"/>
      <c r="Q47" s="398"/>
      <c r="R47" s="398"/>
      <c r="S47" s="398"/>
      <c r="T47" s="398"/>
      <c r="U47" s="398"/>
      <c r="V47" s="398"/>
      <c r="W47" s="398"/>
      <c r="X47" s="398"/>
      <c r="Y47" s="398"/>
      <c r="Z47" s="398"/>
      <c r="AA47" s="398"/>
      <c r="AB47" s="398"/>
    </row>
    <row r="48" spans="1:28" x14ac:dyDescent="0.2">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row>
    <row r="49" spans="2:28" s="68" customFormat="1" x14ac:dyDescent="0.2">
      <c r="B49" s="382" t="s">
        <v>129</v>
      </c>
      <c r="C49" s="382"/>
      <c r="D49" s="382"/>
      <c r="E49" s="382"/>
      <c r="F49" s="382"/>
      <c r="G49" s="382"/>
      <c r="H49" s="382"/>
      <c r="I49" s="382"/>
      <c r="J49" s="382"/>
      <c r="K49" s="382"/>
      <c r="L49" s="382"/>
      <c r="M49" s="382"/>
      <c r="N49" s="382"/>
      <c r="O49" s="382"/>
      <c r="P49" s="382"/>
      <c r="Q49" s="382"/>
      <c r="R49" s="382"/>
      <c r="S49" s="382"/>
      <c r="T49" s="382"/>
      <c r="U49" s="382"/>
      <c r="V49" s="382"/>
      <c r="W49" s="382"/>
      <c r="X49" s="382"/>
      <c r="Y49" s="382"/>
      <c r="Z49" s="382"/>
      <c r="AA49" s="382"/>
      <c r="AB49" s="382"/>
    </row>
    <row r="50" spans="2:28" s="68" customFormat="1" x14ac:dyDescent="0.2">
      <c r="B50" s="382"/>
      <c r="C50" s="382"/>
      <c r="D50" s="382"/>
      <c r="E50" s="382"/>
      <c r="F50" s="382"/>
      <c r="G50" s="382"/>
      <c r="H50" s="382"/>
      <c r="I50" s="382"/>
      <c r="J50" s="382"/>
      <c r="K50" s="382"/>
      <c r="L50" s="382"/>
      <c r="M50" s="382"/>
      <c r="N50" s="382"/>
      <c r="O50" s="382"/>
      <c r="P50" s="382"/>
      <c r="Q50" s="382"/>
      <c r="R50" s="382"/>
      <c r="S50" s="382"/>
      <c r="T50" s="382"/>
      <c r="U50" s="382"/>
      <c r="V50" s="382"/>
      <c r="W50" s="382"/>
      <c r="X50" s="382"/>
      <c r="Y50" s="382"/>
      <c r="Z50" s="382"/>
      <c r="AA50" s="382"/>
      <c r="AB50" s="382"/>
    </row>
    <row r="51" spans="2:28" s="68" customFormat="1" x14ac:dyDescent="0.2">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row>
    <row r="52" spans="2:28" s="68" customFormat="1" x14ac:dyDescent="0.2">
      <c r="B52" s="108" t="s">
        <v>132</v>
      </c>
      <c r="C52" s="76"/>
      <c r="D52" s="76"/>
      <c r="E52" s="76"/>
      <c r="F52" s="76"/>
      <c r="G52" s="76"/>
      <c r="H52" s="76"/>
      <c r="I52" s="76"/>
      <c r="J52" s="169"/>
      <c r="K52" s="170"/>
      <c r="L52" s="170"/>
      <c r="M52" s="170"/>
      <c r="N52" s="170"/>
      <c r="O52" s="170"/>
      <c r="P52" s="170"/>
      <c r="Q52" s="170"/>
      <c r="R52" s="170"/>
      <c r="S52" s="170"/>
      <c r="T52" s="170"/>
      <c r="U52" s="170"/>
      <c r="V52" s="170"/>
      <c r="W52" s="170"/>
      <c r="X52" s="170"/>
      <c r="Y52" s="170"/>
      <c r="Z52" s="170"/>
      <c r="AA52" s="170"/>
      <c r="AB52" s="171"/>
    </row>
    <row r="53" spans="2:28" s="68" customFormat="1" x14ac:dyDescent="0.2">
      <c r="B53" s="76"/>
      <c r="C53" s="76"/>
      <c r="D53" s="76"/>
      <c r="E53" s="76"/>
      <c r="F53" s="76"/>
      <c r="G53" s="76"/>
      <c r="H53" s="172"/>
      <c r="I53" s="172"/>
      <c r="J53" s="173"/>
      <c r="K53" s="172"/>
      <c r="L53" s="172"/>
      <c r="M53" s="172"/>
      <c r="N53" s="172"/>
      <c r="O53" s="172"/>
      <c r="P53" s="172"/>
      <c r="Q53" s="172"/>
      <c r="R53" s="172"/>
      <c r="S53" s="172"/>
      <c r="T53" s="172"/>
      <c r="U53" s="76"/>
      <c r="V53" s="76"/>
      <c r="W53" s="76"/>
      <c r="X53" s="76"/>
      <c r="Y53" s="76"/>
      <c r="Z53" s="76"/>
      <c r="AA53" s="76"/>
      <c r="AB53" s="174"/>
    </row>
    <row r="54" spans="2:28" s="68" customFormat="1" x14ac:dyDescent="0.2">
      <c r="B54" s="76"/>
      <c r="C54" s="76"/>
      <c r="D54" s="76"/>
      <c r="E54" s="76"/>
      <c r="F54" s="76"/>
      <c r="G54" s="76"/>
      <c r="H54" s="76"/>
      <c r="I54" s="76"/>
      <c r="J54" s="175"/>
      <c r="K54" s="76"/>
      <c r="L54" s="76"/>
      <c r="M54" s="76"/>
      <c r="N54" s="76"/>
      <c r="O54" s="76"/>
      <c r="P54" s="76"/>
      <c r="Q54" s="76"/>
      <c r="R54" s="76"/>
      <c r="S54" s="76"/>
      <c r="T54" s="76"/>
      <c r="U54" s="76"/>
      <c r="V54" s="76"/>
      <c r="W54" s="76"/>
      <c r="X54" s="76"/>
      <c r="Y54" s="76"/>
      <c r="Z54" s="76"/>
      <c r="AA54" s="76"/>
      <c r="AB54" s="174"/>
    </row>
    <row r="55" spans="2:28" s="68" customFormat="1" x14ac:dyDescent="0.2">
      <c r="J55" s="176"/>
      <c r="AB55" s="177"/>
    </row>
    <row r="56" spans="2:28" s="68" customFormat="1" x14ac:dyDescent="0.2">
      <c r="J56" s="176"/>
      <c r="AB56" s="177"/>
    </row>
    <row r="57" spans="2:28" s="68" customFormat="1" x14ac:dyDescent="0.2">
      <c r="J57" s="176"/>
      <c r="AB57" s="177"/>
    </row>
    <row r="58" spans="2:28" s="68" customFormat="1" x14ac:dyDescent="0.2">
      <c r="J58" s="176"/>
      <c r="AB58" s="177"/>
    </row>
    <row r="59" spans="2:28" s="68" customFormat="1" x14ac:dyDescent="0.2">
      <c r="J59" s="176"/>
      <c r="AB59" s="177"/>
    </row>
    <row r="60" spans="2:28" s="68" customFormat="1" x14ac:dyDescent="0.2">
      <c r="J60" s="176"/>
      <c r="AB60" s="177"/>
    </row>
    <row r="61" spans="2:28" s="68" customFormat="1" x14ac:dyDescent="0.2">
      <c r="J61" s="176"/>
      <c r="AB61" s="177"/>
    </row>
    <row r="62" spans="2:28" s="68" customFormat="1" x14ac:dyDescent="0.2">
      <c r="J62" s="176"/>
      <c r="AB62" s="177"/>
    </row>
    <row r="63" spans="2:28" s="68" customFormat="1" x14ac:dyDescent="0.2">
      <c r="J63" s="166"/>
      <c r="K63" s="167"/>
      <c r="L63" s="167"/>
      <c r="M63" s="167"/>
      <c r="N63" s="167"/>
      <c r="O63" s="167"/>
      <c r="P63" s="167"/>
      <c r="Q63" s="167"/>
      <c r="R63" s="167"/>
      <c r="S63" s="167"/>
      <c r="T63" s="167"/>
      <c r="U63" s="167"/>
      <c r="V63" s="167"/>
      <c r="W63" s="167"/>
      <c r="X63" s="167"/>
      <c r="Y63" s="167"/>
      <c r="Z63" s="167"/>
      <c r="AA63" s="167"/>
      <c r="AB63" s="168"/>
    </row>
    <row r="64" spans="2:28" s="68" customFormat="1" x14ac:dyDescent="0.2"/>
    <row r="65" spans="2:4" s="68" customFormat="1" x14ac:dyDescent="0.2">
      <c r="B65" s="179" t="s">
        <v>133</v>
      </c>
    </row>
    <row r="66" spans="2:4" s="68" customFormat="1" ht="15" x14ac:dyDescent="0.2">
      <c r="B66" s="179" t="s">
        <v>131</v>
      </c>
      <c r="D66" s="178"/>
    </row>
    <row r="67" spans="2:4" s="68" customFormat="1" ht="15" x14ac:dyDescent="0.2">
      <c r="D67" s="178"/>
    </row>
  </sheetData>
  <sheetProtection selectLockedCells="1"/>
  <mergeCells count="17">
    <mergeCell ref="B17:K17"/>
    <mergeCell ref="M17:AB17"/>
    <mergeCell ref="I2:AB2"/>
    <mergeCell ref="B23:AB24"/>
    <mergeCell ref="B26:AB26"/>
    <mergeCell ref="B13:K13"/>
    <mergeCell ref="B15:J15"/>
    <mergeCell ref="M15:AB15"/>
    <mergeCell ref="B21:K21"/>
    <mergeCell ref="B19:K19"/>
    <mergeCell ref="M19:AB19"/>
    <mergeCell ref="B49:AB50"/>
    <mergeCell ref="B28:AB28"/>
    <mergeCell ref="B29:AB29"/>
    <mergeCell ref="B31:AB36"/>
    <mergeCell ref="B45:AB47"/>
    <mergeCell ref="B38:M43"/>
  </mergeCells>
  <pageMargins left="0.78740157499999996" right="0.78740157499999996" top="0.984251969" bottom="0.984251969" header="0.4921259845" footer="0.4921259845"/>
  <pageSetup paperSize="9" scale="60" orientation="portrait" r:id="rId1"/>
  <headerFooter alignWithMargins="0">
    <oddFooter>&amp;LFAJV - Aide à la création de propriétés intellectuelles de jeux vidéo - &amp;A&amp;R&amp;D</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5A1F-5AE6-45C0-B8E8-CA6613B3ED17}">
  <sheetPr>
    <pageSetUpPr fitToPage="1"/>
  </sheetPr>
  <dimension ref="B1:BR73"/>
  <sheetViews>
    <sheetView showGridLines="0" view="pageBreakPreview" topLeftCell="A2" zoomScale="80" zoomScaleNormal="100" zoomScaleSheetLayoutView="80" workbookViewId="0">
      <selection activeCell="I5" sqref="I5:AV5"/>
    </sheetView>
  </sheetViews>
  <sheetFormatPr baseColWidth="10" defaultColWidth="11.42578125" defaultRowHeight="12.75" x14ac:dyDescent="0.2"/>
  <cols>
    <col min="1" max="1" width="3" style="111" customWidth="1"/>
    <col min="2" max="7" width="3.85546875" style="111" customWidth="1"/>
    <col min="8" max="8" width="6" style="111" customWidth="1"/>
    <col min="9" max="9" width="3.42578125" style="111" customWidth="1"/>
    <col min="10" max="10" width="3.85546875" style="111" customWidth="1"/>
    <col min="11" max="13" width="3.7109375" style="111" customWidth="1"/>
    <col min="14" max="14" width="1.7109375" style="111" customWidth="1"/>
    <col min="15" max="18" width="3.7109375" style="111" customWidth="1"/>
    <col min="19" max="19" width="1.7109375" style="111" customWidth="1"/>
    <col min="20" max="32" width="3.7109375" style="111" customWidth="1"/>
    <col min="33" max="33" width="1.42578125" style="111" customWidth="1"/>
    <col min="34" max="37" width="3.7109375" style="111" customWidth="1"/>
    <col min="38" max="38" width="1.28515625" style="111" customWidth="1"/>
    <col min="39" max="42" width="3.7109375" style="111" customWidth="1"/>
    <col min="43" max="43" width="2.42578125" style="111" customWidth="1"/>
    <col min="44" max="47" width="3.7109375" style="111" customWidth="1"/>
    <col min="48" max="48" width="2.42578125" style="111" customWidth="1"/>
    <col min="49" max="64" width="3.7109375" style="111" customWidth="1"/>
    <col min="65" max="70" width="3.42578125" style="111" customWidth="1"/>
    <col min="71" max="127" width="3.7109375" style="111" customWidth="1"/>
    <col min="128" max="16384" width="11.42578125" style="111"/>
  </cols>
  <sheetData>
    <row r="1" spans="2:70" ht="12.75" customHeight="1" x14ac:dyDescent="0.45">
      <c r="AN1" s="460"/>
      <c r="AO1" s="460"/>
      <c r="AP1" s="460"/>
      <c r="AQ1" s="460"/>
      <c r="AR1" s="460"/>
      <c r="AS1" s="460"/>
      <c r="AT1" s="460"/>
      <c r="AU1" s="460"/>
    </row>
    <row r="2" spans="2:70" ht="48.6" customHeight="1" x14ac:dyDescent="0.2">
      <c r="K2" s="461" t="s">
        <v>250</v>
      </c>
      <c r="L2" s="462"/>
      <c r="M2" s="462"/>
      <c r="N2" s="462"/>
      <c r="O2" s="462"/>
      <c r="P2" s="462"/>
      <c r="Q2" s="462"/>
      <c r="R2" s="462"/>
      <c r="S2" s="462"/>
      <c r="T2" s="462"/>
      <c r="U2" s="462"/>
      <c r="V2" s="462"/>
      <c r="W2" s="462"/>
      <c r="X2" s="462"/>
      <c r="Y2" s="462"/>
      <c r="Z2" s="462"/>
      <c r="AA2" s="462"/>
      <c r="AB2" s="462"/>
      <c r="AC2" s="462"/>
      <c r="AD2" s="462"/>
      <c r="AE2" s="462"/>
      <c r="AF2" s="462"/>
      <c r="AG2" s="462"/>
      <c r="AH2" s="462"/>
      <c r="AI2" s="462"/>
      <c r="AJ2" s="462"/>
      <c r="AK2" s="462"/>
      <c r="AL2" s="462"/>
      <c r="AM2" s="462"/>
      <c r="AN2" s="462"/>
      <c r="AO2" s="462"/>
      <c r="AP2" s="462"/>
      <c r="AQ2" s="462"/>
      <c r="AR2" s="462"/>
      <c r="AS2" s="462"/>
      <c r="AT2" s="462"/>
      <c r="AU2" s="462"/>
      <c r="AV2" s="463"/>
    </row>
    <row r="5" spans="2:70" s="278" customFormat="1" ht="25.5" customHeight="1" x14ac:dyDescent="0.2">
      <c r="B5" s="431" t="s">
        <v>116</v>
      </c>
      <c r="C5" s="432"/>
      <c r="D5" s="432"/>
      <c r="E5" s="432"/>
      <c r="F5" s="432"/>
      <c r="G5" s="432"/>
      <c r="H5" s="433"/>
      <c r="I5" s="434"/>
      <c r="J5" s="435"/>
      <c r="K5" s="435"/>
      <c r="L5" s="435"/>
      <c r="M5" s="435"/>
      <c r="N5" s="435"/>
      <c r="O5" s="435"/>
      <c r="P5" s="435"/>
      <c r="Q5" s="435"/>
      <c r="R5" s="435"/>
      <c r="S5" s="435"/>
      <c r="T5" s="435"/>
      <c r="U5" s="435"/>
      <c r="V5" s="435"/>
      <c r="W5" s="435"/>
      <c r="X5" s="435"/>
      <c r="Y5" s="435"/>
      <c r="Z5" s="435"/>
      <c r="AA5" s="435"/>
      <c r="AB5" s="435"/>
      <c r="AC5" s="435"/>
      <c r="AD5" s="435"/>
      <c r="AE5" s="435"/>
      <c r="AF5" s="435"/>
      <c r="AG5" s="435"/>
      <c r="AH5" s="435"/>
      <c r="AI5" s="435"/>
      <c r="AJ5" s="435"/>
      <c r="AK5" s="435"/>
      <c r="AL5" s="435"/>
      <c r="AM5" s="435"/>
      <c r="AN5" s="435"/>
      <c r="AO5" s="435"/>
      <c r="AP5" s="435"/>
      <c r="AQ5" s="435"/>
      <c r="AR5" s="435"/>
      <c r="AS5" s="435"/>
      <c r="AT5" s="435"/>
      <c r="AU5" s="435"/>
      <c r="AV5" s="436"/>
      <c r="AW5" s="277"/>
      <c r="AX5" s="277"/>
      <c r="AY5" s="277"/>
      <c r="AZ5" s="277"/>
      <c r="BA5" s="277"/>
      <c r="BB5" s="277"/>
      <c r="BC5" s="277"/>
      <c r="BD5" s="277"/>
      <c r="BE5" s="277"/>
      <c r="BF5" s="277"/>
      <c r="BG5" s="277"/>
      <c r="BH5" s="277"/>
      <c r="BI5" s="277"/>
      <c r="BJ5" s="277"/>
      <c r="BK5" s="277"/>
      <c r="BL5" s="277"/>
      <c r="BM5" s="277"/>
      <c r="BN5" s="277"/>
      <c r="BO5" s="277"/>
      <c r="BP5" s="277"/>
      <c r="BQ5" s="277"/>
      <c r="BR5" s="277"/>
    </row>
    <row r="6" spans="2:70" s="278" customFormat="1" ht="6" customHeight="1" x14ac:dyDescent="0.2">
      <c r="B6" s="437" t="s">
        <v>71</v>
      </c>
      <c r="C6" s="438"/>
      <c r="D6" s="438"/>
      <c r="E6" s="438"/>
      <c r="F6" s="438"/>
      <c r="G6" s="438"/>
      <c r="H6" s="439"/>
      <c r="I6" s="279"/>
      <c r="J6" s="280"/>
      <c r="K6" s="281"/>
      <c r="L6" s="281"/>
      <c r="M6" s="282"/>
      <c r="N6" s="283"/>
      <c r="O6" s="284"/>
      <c r="P6" s="285"/>
      <c r="Q6" s="286"/>
      <c r="R6" s="286"/>
      <c r="S6" s="283"/>
      <c r="T6" s="285"/>
      <c r="U6" s="285"/>
      <c r="V6" s="285"/>
      <c r="W6" s="285"/>
      <c r="X6" s="282"/>
      <c r="Y6" s="285"/>
      <c r="Z6" s="287"/>
      <c r="AA6" s="281"/>
      <c r="AB6" s="283"/>
      <c r="AC6" s="285"/>
      <c r="AD6" s="285"/>
      <c r="AE6" s="282"/>
      <c r="AF6" s="285"/>
      <c r="AG6" s="283"/>
      <c r="AH6" s="287"/>
      <c r="AI6" s="281"/>
      <c r="AJ6" s="285"/>
      <c r="AK6" s="285"/>
      <c r="AL6" s="283"/>
      <c r="AM6" s="285"/>
      <c r="AN6" s="285"/>
      <c r="AO6" s="282"/>
      <c r="AP6" s="285"/>
      <c r="AQ6" s="288"/>
      <c r="AR6" s="281"/>
      <c r="AS6" s="281"/>
      <c r="AT6" s="282"/>
      <c r="AU6" s="281"/>
      <c r="AV6" s="289"/>
      <c r="AW6" s="277"/>
      <c r="AX6" s="277"/>
      <c r="AY6" s="277"/>
      <c r="AZ6" s="277"/>
      <c r="BA6" s="277"/>
      <c r="BB6" s="277"/>
      <c r="BC6" s="277"/>
      <c r="BD6" s="277"/>
      <c r="BE6" s="277"/>
      <c r="BF6" s="277"/>
      <c r="BG6" s="277"/>
      <c r="BH6" s="277"/>
      <c r="BI6" s="277"/>
      <c r="BJ6" s="277"/>
      <c r="BK6" s="277"/>
      <c r="BL6" s="277"/>
      <c r="BM6" s="277"/>
      <c r="BN6" s="277"/>
      <c r="BO6" s="277"/>
      <c r="BP6" s="277"/>
      <c r="BQ6" s="277"/>
      <c r="BR6" s="277"/>
    </row>
    <row r="7" spans="2:70" s="278" customFormat="1" ht="26.25" customHeight="1" x14ac:dyDescent="0.2">
      <c r="B7" s="440"/>
      <c r="C7" s="441"/>
      <c r="D7" s="441"/>
      <c r="E7" s="441"/>
      <c r="F7" s="441"/>
      <c r="G7" s="441"/>
      <c r="H7" s="442"/>
      <c r="I7" s="290"/>
      <c r="J7" s="291" t="s">
        <v>247</v>
      </c>
      <c r="K7" s="292"/>
      <c r="L7" s="292"/>
      <c r="M7" s="292"/>
      <c r="N7" s="293"/>
      <c r="O7" s="294"/>
      <c r="P7" s="292"/>
      <c r="Q7" s="295"/>
      <c r="R7" s="296"/>
      <c r="S7" s="293"/>
      <c r="T7" s="296" t="s">
        <v>165</v>
      </c>
      <c r="U7" s="292"/>
      <c r="V7" s="292"/>
      <c r="W7" s="292"/>
      <c r="X7" s="294"/>
      <c r="Y7" s="292"/>
      <c r="Z7" s="295"/>
      <c r="AA7" s="296" t="s">
        <v>167</v>
      </c>
      <c r="AB7" s="293"/>
      <c r="AC7" s="292"/>
      <c r="AD7" s="292"/>
      <c r="AE7" s="294"/>
      <c r="AF7" s="292"/>
      <c r="AG7" s="293"/>
      <c r="AH7" s="295"/>
      <c r="AI7" s="296" t="s">
        <v>166</v>
      </c>
      <c r="AJ7" s="292"/>
      <c r="AK7" s="292"/>
      <c r="AL7" s="293"/>
      <c r="AM7" s="292"/>
      <c r="AN7" s="292"/>
      <c r="AO7" s="294"/>
      <c r="AP7" s="292"/>
      <c r="AQ7" s="297"/>
      <c r="AR7" s="297"/>
      <c r="AS7" s="297"/>
      <c r="AT7" s="297"/>
      <c r="AU7" s="296"/>
      <c r="AV7" s="298"/>
      <c r="AW7" s="277"/>
      <c r="AX7" s="277"/>
      <c r="AY7" s="277"/>
      <c r="AZ7" s="277"/>
      <c r="BA7" s="277"/>
      <c r="BB7" s="277"/>
      <c r="BC7" s="277"/>
      <c r="BD7" s="277"/>
      <c r="BE7" s="277"/>
      <c r="BF7" s="277"/>
      <c r="BG7" s="277"/>
      <c r="BH7" s="277"/>
      <c r="BI7" s="277"/>
      <c r="BJ7" s="277"/>
      <c r="BK7" s="277"/>
      <c r="BL7" s="277"/>
      <c r="BM7" s="277"/>
      <c r="BN7" s="277"/>
      <c r="BO7" s="277"/>
      <c r="BP7" s="277"/>
      <c r="BQ7" s="277"/>
      <c r="BR7" s="277"/>
    </row>
    <row r="8" spans="2:70" s="278" customFormat="1" ht="6" customHeight="1" x14ac:dyDescent="0.2">
      <c r="B8" s="440"/>
      <c r="C8" s="441"/>
      <c r="D8" s="441"/>
      <c r="E8" s="441"/>
      <c r="F8" s="441"/>
      <c r="G8" s="441"/>
      <c r="H8" s="442"/>
      <c r="I8" s="279"/>
      <c r="J8" s="280"/>
      <c r="K8" s="281"/>
      <c r="L8" s="281"/>
      <c r="M8" s="282"/>
      <c r="N8" s="283"/>
      <c r="O8" s="284"/>
      <c r="P8" s="285"/>
      <c r="Q8" s="286"/>
      <c r="R8" s="286"/>
      <c r="S8" s="283"/>
      <c r="T8" s="285"/>
      <c r="U8" s="285"/>
      <c r="V8" s="285"/>
      <c r="W8" s="285"/>
      <c r="X8" s="282"/>
      <c r="Y8" s="285"/>
      <c r="Z8" s="287"/>
      <c r="AA8" s="281"/>
      <c r="AB8" s="283"/>
      <c r="AC8" s="285"/>
      <c r="AD8" s="285"/>
      <c r="AE8" s="282"/>
      <c r="AF8" s="285"/>
      <c r="AG8" s="283"/>
      <c r="AH8" s="287"/>
      <c r="AI8" s="281"/>
      <c r="AJ8" s="285"/>
      <c r="AK8" s="285"/>
      <c r="AL8" s="283"/>
      <c r="AM8" s="285"/>
      <c r="AN8" s="285"/>
      <c r="AO8" s="282"/>
      <c r="AP8" s="285"/>
      <c r="AQ8" s="288"/>
      <c r="AR8" s="281"/>
      <c r="AS8" s="281"/>
      <c r="AT8" s="282"/>
      <c r="AU8" s="281"/>
      <c r="AV8" s="289"/>
      <c r="AW8" s="277"/>
      <c r="AX8" s="277"/>
      <c r="AY8" s="277"/>
      <c r="AZ8" s="277"/>
      <c r="BA8" s="277"/>
      <c r="BB8" s="277"/>
      <c r="BC8" s="277"/>
      <c r="BD8" s="277"/>
      <c r="BE8" s="277"/>
      <c r="BF8" s="277"/>
      <c r="BG8" s="277"/>
      <c r="BH8" s="277"/>
      <c r="BI8" s="277"/>
      <c r="BJ8" s="277"/>
      <c r="BK8" s="277"/>
      <c r="BL8" s="277"/>
      <c r="BM8" s="277"/>
      <c r="BN8" s="277"/>
      <c r="BO8" s="277"/>
      <c r="BP8" s="277"/>
      <c r="BQ8" s="277"/>
      <c r="BR8" s="277"/>
    </row>
    <row r="9" spans="2:70" s="278" customFormat="1" ht="26.25" customHeight="1" x14ac:dyDescent="0.2">
      <c r="B9" s="440"/>
      <c r="C9" s="441"/>
      <c r="D9" s="441"/>
      <c r="E9" s="441"/>
      <c r="F9" s="441"/>
      <c r="G9" s="441"/>
      <c r="H9" s="442"/>
      <c r="I9" s="290"/>
      <c r="J9" s="291" t="s">
        <v>248</v>
      </c>
      <c r="K9" s="296"/>
      <c r="L9" s="296"/>
      <c r="M9" s="294"/>
      <c r="N9" s="293"/>
      <c r="O9" s="297"/>
      <c r="P9" s="292"/>
      <c r="Q9" s="299"/>
      <c r="R9" s="299" t="s">
        <v>117</v>
      </c>
      <c r="S9" s="293"/>
      <c r="T9" s="292"/>
      <c r="U9" s="292"/>
      <c r="V9" s="300"/>
      <c r="W9" s="300"/>
      <c r="X9" s="301"/>
      <c r="Y9" s="300"/>
      <c r="Z9" s="302"/>
      <c r="AA9" s="303"/>
      <c r="AB9" s="304"/>
      <c r="AC9" s="300"/>
      <c r="AD9" s="300"/>
      <c r="AE9" s="301"/>
      <c r="AF9" s="300"/>
      <c r="AG9" s="304"/>
      <c r="AH9" s="302"/>
      <c r="AI9" s="303"/>
      <c r="AJ9" s="300"/>
      <c r="AK9" s="300"/>
      <c r="AL9" s="304"/>
      <c r="AM9" s="305"/>
      <c r="AN9" s="292"/>
      <c r="AO9" s="294"/>
      <c r="AP9" s="292"/>
      <c r="AQ9" s="306"/>
      <c r="AR9" s="296"/>
      <c r="AS9" s="296"/>
      <c r="AT9" s="294"/>
      <c r="AU9" s="296"/>
      <c r="AV9" s="298"/>
      <c r="AW9" s="277"/>
      <c r="AX9" s="277"/>
      <c r="AY9" s="277"/>
      <c r="AZ9" s="277"/>
      <c r="BA9" s="277"/>
      <c r="BB9" s="277"/>
      <c r="BC9" s="277"/>
      <c r="BD9" s="277"/>
      <c r="BE9" s="277"/>
      <c r="BF9" s="277"/>
      <c r="BG9" s="277"/>
      <c r="BH9" s="277"/>
      <c r="BI9" s="277"/>
      <c r="BJ9" s="277"/>
      <c r="BK9" s="277"/>
      <c r="BL9" s="277"/>
      <c r="BM9" s="277"/>
      <c r="BN9" s="277"/>
      <c r="BO9" s="277"/>
      <c r="BP9" s="277"/>
      <c r="BQ9" s="277"/>
      <c r="BR9" s="277"/>
    </row>
    <row r="10" spans="2:70" s="278" customFormat="1" ht="6" customHeight="1" x14ac:dyDescent="0.2">
      <c r="B10" s="443"/>
      <c r="C10" s="444"/>
      <c r="D10" s="444"/>
      <c r="E10" s="444"/>
      <c r="F10" s="444"/>
      <c r="G10" s="444"/>
      <c r="H10" s="445"/>
      <c r="I10" s="290"/>
      <c r="J10" s="291"/>
      <c r="K10" s="296"/>
      <c r="L10" s="296"/>
      <c r="M10" s="294"/>
      <c r="N10" s="293"/>
      <c r="O10" s="297"/>
      <c r="P10" s="292"/>
      <c r="Q10" s="299"/>
      <c r="R10" s="299"/>
      <c r="S10" s="293"/>
      <c r="T10" s="292"/>
      <c r="U10" s="292"/>
      <c r="V10" s="292"/>
      <c r="W10" s="292"/>
      <c r="X10" s="294"/>
      <c r="Y10" s="292"/>
      <c r="Z10" s="295"/>
      <c r="AA10" s="296"/>
      <c r="AB10" s="293"/>
      <c r="AC10" s="292"/>
      <c r="AD10" s="292"/>
      <c r="AE10" s="294"/>
      <c r="AF10" s="292"/>
      <c r="AG10" s="293"/>
      <c r="AH10" s="295"/>
      <c r="AI10" s="296"/>
      <c r="AJ10" s="292"/>
      <c r="AK10" s="292"/>
      <c r="AL10" s="293"/>
      <c r="AM10" s="292"/>
      <c r="AN10" s="292"/>
      <c r="AO10" s="294"/>
      <c r="AP10" s="292"/>
      <c r="AQ10" s="306"/>
      <c r="AR10" s="296"/>
      <c r="AS10" s="296"/>
      <c r="AT10" s="294"/>
      <c r="AU10" s="296"/>
      <c r="AV10" s="298"/>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row>
    <row r="11" spans="2:70" s="122" customFormat="1" ht="26.25" customHeight="1" x14ac:dyDescent="0.2">
      <c r="B11" s="421" t="s">
        <v>72</v>
      </c>
      <c r="C11" s="422"/>
      <c r="D11" s="422"/>
      <c r="E11" s="422"/>
      <c r="F11" s="422"/>
      <c r="G11" s="422"/>
      <c r="H11" s="446"/>
      <c r="I11" s="447"/>
      <c r="J11" s="448"/>
      <c r="K11" s="448"/>
      <c r="L11" s="448"/>
      <c r="M11" s="448"/>
      <c r="N11" s="448"/>
      <c r="O11" s="448"/>
      <c r="P11" s="448"/>
      <c r="Q11" s="448"/>
      <c r="R11" s="448"/>
      <c r="S11" s="448"/>
      <c r="T11" s="448"/>
      <c r="U11" s="448"/>
      <c r="V11" s="448"/>
      <c r="W11" s="448"/>
      <c r="X11" s="448"/>
      <c r="Y11" s="448"/>
      <c r="Z11" s="448"/>
      <c r="AA11" s="448"/>
      <c r="AB11" s="448"/>
      <c r="AC11" s="448"/>
      <c r="AD11" s="448"/>
      <c r="AE11" s="448"/>
      <c r="AF11" s="448"/>
      <c r="AG11" s="448"/>
      <c r="AH11" s="448"/>
      <c r="AI11" s="448"/>
      <c r="AJ11" s="448"/>
      <c r="AK11" s="448"/>
      <c r="AL11" s="448"/>
      <c r="AM11" s="448"/>
      <c r="AN11" s="448"/>
      <c r="AO11" s="448"/>
      <c r="AP11" s="448"/>
      <c r="AQ11" s="448"/>
      <c r="AR11" s="448"/>
      <c r="AS11" s="448"/>
      <c r="AT11" s="448"/>
      <c r="AU11" s="448"/>
      <c r="AV11" s="449"/>
      <c r="AW11" s="307"/>
      <c r="AX11" s="307"/>
      <c r="AY11" s="307"/>
      <c r="AZ11" s="307"/>
      <c r="BA11" s="307"/>
      <c r="BB11" s="307"/>
      <c r="BC11" s="307"/>
      <c r="BD11" s="307"/>
      <c r="BE11" s="307"/>
      <c r="BF11" s="307"/>
      <c r="BG11" s="307"/>
      <c r="BH11" s="307"/>
      <c r="BI11" s="307"/>
      <c r="BJ11" s="307"/>
      <c r="BK11" s="307"/>
      <c r="BL11" s="307"/>
      <c r="BM11" s="307"/>
      <c r="BN11" s="307"/>
      <c r="BO11" s="307"/>
      <c r="BP11" s="307"/>
      <c r="BQ11" s="307"/>
      <c r="BR11" s="307"/>
    </row>
    <row r="12" spans="2:70" s="122" customFormat="1" ht="26.25" customHeight="1" x14ac:dyDescent="0.2">
      <c r="B12" s="421" t="s">
        <v>73</v>
      </c>
      <c r="C12" s="422"/>
      <c r="D12" s="422"/>
      <c r="E12" s="422"/>
      <c r="F12" s="422"/>
      <c r="G12" s="422"/>
      <c r="H12" s="422"/>
      <c r="I12" s="423"/>
      <c r="J12" s="424"/>
      <c r="K12" s="424"/>
      <c r="L12" s="424"/>
      <c r="M12" s="424"/>
      <c r="N12" s="424"/>
      <c r="O12" s="424"/>
      <c r="P12" s="424"/>
      <c r="Q12" s="424"/>
      <c r="R12" s="424"/>
      <c r="S12" s="424"/>
      <c r="T12" s="424"/>
      <c r="U12" s="424"/>
      <c r="V12" s="424"/>
      <c r="W12" s="424"/>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5"/>
      <c r="AW12" s="307"/>
      <c r="AX12" s="307"/>
      <c r="AY12" s="307"/>
      <c r="AZ12" s="307"/>
      <c r="BA12" s="308"/>
      <c r="BB12" s="308"/>
      <c r="BC12" s="308"/>
      <c r="BD12" s="308"/>
      <c r="BE12" s="308"/>
      <c r="BF12" s="308"/>
      <c r="BG12" s="308"/>
      <c r="BH12" s="308"/>
      <c r="BI12" s="308"/>
      <c r="BJ12" s="308"/>
      <c r="BK12" s="308"/>
      <c r="BL12" s="308"/>
      <c r="BM12" s="308"/>
      <c r="BN12" s="308"/>
      <c r="BO12" s="308"/>
      <c r="BP12" s="308"/>
      <c r="BQ12" s="308"/>
      <c r="BR12" s="308"/>
    </row>
    <row r="13" spans="2:70" s="122" customFormat="1" ht="26.25" customHeight="1" x14ac:dyDescent="0.2">
      <c r="B13" s="421" t="s">
        <v>68</v>
      </c>
      <c r="C13" s="422"/>
      <c r="D13" s="422"/>
      <c r="E13" s="422"/>
      <c r="F13" s="422"/>
      <c r="G13" s="422"/>
      <c r="H13" s="446"/>
      <c r="I13" s="452"/>
      <c r="J13" s="453"/>
      <c r="K13" s="453"/>
      <c r="L13" s="453"/>
      <c r="M13" s="453"/>
      <c r="N13" s="453"/>
      <c r="O13" s="453"/>
      <c r="P13" s="453"/>
      <c r="Q13" s="453"/>
      <c r="R13" s="453"/>
      <c r="S13" s="453"/>
      <c r="T13" s="453"/>
      <c r="U13" s="453"/>
      <c r="V13" s="453"/>
      <c r="W13" s="453"/>
      <c r="X13" s="453"/>
      <c r="Y13" s="453"/>
      <c r="Z13" s="453"/>
      <c r="AA13" s="453"/>
      <c r="AB13" s="453"/>
      <c r="AC13" s="453"/>
      <c r="AD13" s="453"/>
      <c r="AE13" s="453"/>
      <c r="AF13" s="453"/>
      <c r="AG13" s="453"/>
      <c r="AH13" s="453"/>
      <c r="AI13" s="453"/>
      <c r="AJ13" s="453"/>
      <c r="AK13" s="453"/>
      <c r="AL13" s="453"/>
      <c r="AM13" s="453"/>
      <c r="AN13" s="453"/>
      <c r="AO13" s="453"/>
      <c r="AP13" s="453"/>
      <c r="AQ13" s="453"/>
      <c r="AR13" s="453"/>
      <c r="AS13" s="453"/>
      <c r="AT13" s="453"/>
      <c r="AU13" s="453"/>
      <c r="AV13" s="454"/>
      <c r="AW13" s="307"/>
      <c r="AX13" s="307"/>
      <c r="AY13" s="307"/>
      <c r="AZ13" s="307"/>
      <c r="BA13" s="308"/>
      <c r="BB13" s="308"/>
      <c r="BC13" s="308"/>
      <c r="BD13" s="308"/>
      <c r="BE13" s="308"/>
      <c r="BF13" s="308"/>
      <c r="BG13" s="308"/>
      <c r="BH13" s="308"/>
      <c r="BI13" s="308"/>
      <c r="BJ13" s="308"/>
      <c r="BK13" s="308"/>
      <c r="BL13" s="308"/>
      <c r="BM13" s="308"/>
      <c r="BN13" s="308"/>
      <c r="BO13" s="308"/>
      <c r="BP13" s="308"/>
      <c r="BQ13" s="308"/>
      <c r="BR13" s="308"/>
    </row>
    <row r="14" spans="2:70" s="122" customFormat="1" ht="26.25" customHeight="1" x14ac:dyDescent="0.2">
      <c r="B14" s="309" t="s">
        <v>174</v>
      </c>
      <c r="C14" s="310"/>
      <c r="D14" s="310"/>
      <c r="E14" s="310"/>
      <c r="F14" s="310"/>
      <c r="G14" s="310"/>
      <c r="H14" s="311"/>
      <c r="I14" s="426"/>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8"/>
      <c r="AW14" s="307"/>
      <c r="AX14" s="307"/>
      <c r="AY14" s="307"/>
      <c r="AZ14" s="307"/>
      <c r="BA14" s="308"/>
      <c r="BB14" s="308"/>
      <c r="BC14" s="308"/>
      <c r="BD14" s="308"/>
      <c r="BE14" s="308"/>
      <c r="BF14" s="308"/>
      <c r="BG14" s="308"/>
      <c r="BH14" s="308"/>
      <c r="BI14" s="308"/>
      <c r="BJ14" s="308"/>
      <c r="BK14" s="308"/>
      <c r="BL14" s="308"/>
      <c r="BM14" s="308"/>
      <c r="BN14" s="308"/>
      <c r="BO14" s="308"/>
      <c r="BP14" s="308"/>
      <c r="BQ14" s="308"/>
      <c r="BR14" s="308"/>
    </row>
    <row r="15" spans="2:70" s="122" customFormat="1" ht="26.1" customHeight="1" x14ac:dyDescent="0.2">
      <c r="B15" s="312" t="s">
        <v>175</v>
      </c>
      <c r="C15" s="313"/>
      <c r="D15" s="313"/>
      <c r="E15" s="313"/>
      <c r="F15" s="313"/>
      <c r="G15" s="313"/>
      <c r="H15" s="314"/>
      <c r="I15" s="450"/>
      <c r="J15" s="451"/>
      <c r="K15" s="451"/>
      <c r="L15" s="451"/>
      <c r="M15" s="451"/>
      <c r="N15" s="451"/>
      <c r="O15" s="451"/>
      <c r="P15" s="451"/>
      <c r="Q15" s="451"/>
      <c r="R15" s="451"/>
      <c r="S15" s="451"/>
      <c r="T15" s="451"/>
      <c r="U15" s="451"/>
      <c r="V15" s="451"/>
      <c r="W15" s="451"/>
      <c r="X15" s="451"/>
      <c r="Y15" s="451"/>
      <c r="Z15" s="451"/>
      <c r="AA15" s="451"/>
      <c r="AB15" s="451"/>
      <c r="AC15" s="451"/>
      <c r="AD15" s="451"/>
      <c r="AE15" s="451"/>
      <c r="AF15" s="451"/>
      <c r="AG15" s="451"/>
      <c r="AH15" s="451"/>
      <c r="AI15" s="451"/>
      <c r="AJ15" s="451"/>
      <c r="AK15" s="451"/>
      <c r="AL15" s="451"/>
      <c r="AM15" s="451"/>
      <c r="AN15" s="451"/>
      <c r="AO15" s="451"/>
      <c r="AP15" s="451"/>
      <c r="AQ15" s="451"/>
      <c r="AR15" s="451"/>
      <c r="AS15" s="451"/>
      <c r="AT15" s="451"/>
      <c r="AU15" s="451"/>
      <c r="AV15" s="315"/>
      <c r="AW15" s="307"/>
      <c r="AX15" s="307"/>
      <c r="AY15" s="307"/>
      <c r="AZ15" s="307"/>
      <c r="BA15" s="308"/>
      <c r="BB15" s="308"/>
      <c r="BC15" s="308"/>
      <c r="BD15" s="308"/>
      <c r="BE15" s="308"/>
      <c r="BF15" s="308"/>
      <c r="BG15" s="308"/>
      <c r="BH15" s="308"/>
      <c r="BI15" s="308"/>
      <c r="BJ15" s="308"/>
      <c r="BK15" s="308"/>
      <c r="BL15" s="308"/>
      <c r="BM15" s="308"/>
      <c r="BN15" s="308"/>
      <c r="BO15" s="308"/>
      <c r="BP15" s="308"/>
      <c r="BQ15" s="308"/>
      <c r="BR15" s="308"/>
    </row>
    <row r="16" spans="2:70" s="122" customFormat="1" ht="26.25" customHeight="1" x14ac:dyDescent="0.2">
      <c r="B16" s="316" t="s">
        <v>193</v>
      </c>
      <c r="C16" s="317"/>
      <c r="D16" s="317"/>
      <c r="E16" s="317"/>
      <c r="F16" s="317"/>
      <c r="G16" s="317"/>
      <c r="H16" s="318"/>
      <c r="I16" s="429"/>
      <c r="J16" s="430"/>
      <c r="K16" s="430"/>
      <c r="L16" s="430"/>
      <c r="M16" s="430"/>
      <c r="N16" s="430"/>
      <c r="O16" s="430"/>
      <c r="P16" s="430"/>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59"/>
      <c r="AW16" s="307"/>
      <c r="AX16" s="307"/>
      <c r="AY16" s="307"/>
      <c r="AZ16" s="307"/>
      <c r="BA16" s="307"/>
      <c r="BB16" s="307"/>
      <c r="BC16" s="307"/>
      <c r="BD16" s="307"/>
      <c r="BE16" s="307"/>
      <c r="BF16" s="307"/>
      <c r="BG16" s="307"/>
      <c r="BH16" s="307"/>
      <c r="BI16" s="307"/>
      <c r="BJ16" s="307"/>
      <c r="BK16" s="307"/>
      <c r="BL16" s="307"/>
      <c r="BM16" s="307"/>
      <c r="BN16" s="307"/>
      <c r="BO16" s="307"/>
      <c r="BP16" s="307"/>
      <c r="BQ16" s="307"/>
      <c r="BR16" s="307"/>
    </row>
    <row r="17" spans="2:70" s="122" customFormat="1" ht="24" customHeight="1" x14ac:dyDescent="0.2">
      <c r="B17" s="319"/>
      <c r="C17" s="320"/>
      <c r="D17" s="456"/>
      <c r="E17" s="456"/>
      <c r="F17" s="456"/>
      <c r="G17" s="456"/>
      <c r="H17" s="456"/>
      <c r="I17" s="456"/>
      <c r="J17" s="456"/>
      <c r="K17" s="456"/>
      <c r="L17" s="456"/>
      <c r="M17" s="456"/>
      <c r="N17" s="320"/>
      <c r="O17" s="457"/>
      <c r="P17" s="457"/>
      <c r="Q17" s="457"/>
      <c r="R17" s="457"/>
      <c r="T17" s="457"/>
      <c r="U17" s="457"/>
      <c r="V17" s="457"/>
      <c r="W17" s="457"/>
      <c r="X17" s="457"/>
      <c r="Y17" s="457"/>
      <c r="Z17" s="457"/>
      <c r="AA17" s="457"/>
      <c r="AC17" s="458"/>
      <c r="AD17" s="458"/>
      <c r="AE17" s="458"/>
      <c r="AF17" s="458"/>
      <c r="AG17" s="123"/>
      <c r="AH17" s="458"/>
      <c r="AI17" s="458"/>
      <c r="AJ17" s="458"/>
      <c r="AK17" s="458"/>
      <c r="AM17" s="458"/>
      <c r="AN17" s="458"/>
      <c r="AO17" s="458"/>
      <c r="AP17" s="458"/>
      <c r="AR17" s="455"/>
      <c r="AS17" s="455"/>
      <c r="AT17" s="455"/>
      <c r="AU17" s="455"/>
      <c r="AW17" s="307"/>
      <c r="AX17" s="307"/>
      <c r="AY17" s="307"/>
      <c r="AZ17" s="307"/>
      <c r="BA17" s="308"/>
      <c r="BB17" s="308"/>
      <c r="BC17" s="308"/>
      <c r="BD17" s="308"/>
      <c r="BE17" s="308"/>
      <c r="BF17" s="308"/>
      <c r="BG17" s="308"/>
      <c r="BH17" s="308"/>
      <c r="BI17" s="308"/>
      <c r="BJ17" s="308"/>
      <c r="BK17" s="308"/>
      <c r="BL17" s="308"/>
      <c r="BM17" s="308"/>
      <c r="BN17" s="308"/>
      <c r="BO17" s="308"/>
      <c r="BP17" s="308"/>
      <c r="BQ17" s="308"/>
      <c r="BR17" s="308"/>
    </row>
    <row r="18" spans="2:70" s="278" customFormat="1" ht="25.5" customHeight="1" x14ac:dyDescent="0.2">
      <c r="B18" s="431" t="s">
        <v>116</v>
      </c>
      <c r="C18" s="432"/>
      <c r="D18" s="432"/>
      <c r="E18" s="432"/>
      <c r="F18" s="432"/>
      <c r="G18" s="432"/>
      <c r="H18" s="433"/>
      <c r="I18" s="434"/>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6"/>
      <c r="AW18" s="277"/>
      <c r="AX18" s="277"/>
      <c r="AY18" s="277"/>
      <c r="AZ18" s="277"/>
      <c r="BA18" s="277"/>
      <c r="BB18" s="277"/>
      <c r="BC18" s="277"/>
      <c r="BD18" s="277"/>
      <c r="BE18" s="277"/>
      <c r="BF18" s="277"/>
      <c r="BG18" s="277"/>
      <c r="BH18" s="277"/>
      <c r="BI18" s="277"/>
      <c r="BJ18" s="277"/>
      <c r="BK18" s="277"/>
      <c r="BL18" s="277"/>
      <c r="BM18" s="277"/>
      <c r="BN18" s="277"/>
      <c r="BO18" s="277"/>
      <c r="BP18" s="277"/>
      <c r="BQ18" s="277"/>
      <c r="BR18" s="277"/>
    </row>
    <row r="19" spans="2:70" s="278" customFormat="1" ht="6" customHeight="1" x14ac:dyDescent="0.2">
      <c r="B19" s="437" t="s">
        <v>71</v>
      </c>
      <c r="C19" s="438"/>
      <c r="D19" s="438"/>
      <c r="E19" s="438"/>
      <c r="F19" s="438"/>
      <c r="G19" s="438"/>
      <c r="H19" s="439"/>
      <c r="I19" s="279"/>
      <c r="J19" s="280"/>
      <c r="K19" s="281"/>
      <c r="L19" s="281"/>
      <c r="M19" s="282"/>
      <c r="N19" s="283"/>
      <c r="O19" s="284"/>
      <c r="P19" s="285"/>
      <c r="Q19" s="286"/>
      <c r="R19" s="286"/>
      <c r="S19" s="283"/>
      <c r="T19" s="285"/>
      <c r="U19" s="285"/>
      <c r="V19" s="285"/>
      <c r="W19" s="285"/>
      <c r="X19" s="282"/>
      <c r="Y19" s="285"/>
      <c r="Z19" s="287"/>
      <c r="AA19" s="281"/>
      <c r="AB19" s="283"/>
      <c r="AC19" s="285"/>
      <c r="AD19" s="285"/>
      <c r="AE19" s="282"/>
      <c r="AF19" s="285"/>
      <c r="AG19" s="283"/>
      <c r="AH19" s="287"/>
      <c r="AI19" s="281"/>
      <c r="AJ19" s="285"/>
      <c r="AK19" s="285"/>
      <c r="AL19" s="283"/>
      <c r="AM19" s="285"/>
      <c r="AN19" s="285"/>
      <c r="AO19" s="282"/>
      <c r="AP19" s="285"/>
      <c r="AQ19" s="288"/>
      <c r="AR19" s="281"/>
      <c r="AS19" s="281"/>
      <c r="AT19" s="282"/>
      <c r="AU19" s="281"/>
      <c r="AV19" s="289"/>
      <c r="AW19" s="277"/>
      <c r="AX19" s="277"/>
      <c r="AY19" s="277"/>
      <c r="AZ19" s="277"/>
      <c r="BA19" s="277"/>
      <c r="BB19" s="277"/>
      <c r="BC19" s="277"/>
      <c r="BD19" s="277"/>
      <c r="BE19" s="277"/>
      <c r="BF19" s="277"/>
      <c r="BG19" s="277"/>
      <c r="BH19" s="277"/>
      <c r="BI19" s="277"/>
      <c r="BJ19" s="277"/>
      <c r="BK19" s="277"/>
      <c r="BL19" s="277"/>
      <c r="BM19" s="277"/>
      <c r="BN19" s="277"/>
      <c r="BO19" s="277"/>
      <c r="BP19" s="277"/>
      <c r="BQ19" s="277"/>
      <c r="BR19" s="277"/>
    </row>
    <row r="20" spans="2:70" s="278" customFormat="1" ht="26.25" customHeight="1" x14ac:dyDescent="0.2">
      <c r="B20" s="440"/>
      <c r="C20" s="441"/>
      <c r="D20" s="441"/>
      <c r="E20" s="441"/>
      <c r="F20" s="441"/>
      <c r="G20" s="441"/>
      <c r="H20" s="442"/>
      <c r="I20" s="290"/>
      <c r="J20" s="291" t="s">
        <v>247</v>
      </c>
      <c r="K20" s="292"/>
      <c r="L20" s="292"/>
      <c r="M20" s="292"/>
      <c r="N20" s="293"/>
      <c r="O20" s="294"/>
      <c r="P20" s="292"/>
      <c r="Q20" s="295"/>
      <c r="R20" s="296"/>
      <c r="S20" s="293"/>
      <c r="T20" s="296" t="s">
        <v>165</v>
      </c>
      <c r="U20" s="292"/>
      <c r="V20" s="292"/>
      <c r="W20" s="292"/>
      <c r="X20" s="294"/>
      <c r="Y20" s="292"/>
      <c r="Z20" s="295"/>
      <c r="AA20" s="296" t="s">
        <v>167</v>
      </c>
      <c r="AB20" s="293"/>
      <c r="AC20" s="292"/>
      <c r="AD20" s="292"/>
      <c r="AE20" s="294"/>
      <c r="AF20" s="292"/>
      <c r="AG20" s="293"/>
      <c r="AH20" s="295"/>
      <c r="AI20" s="296" t="s">
        <v>166</v>
      </c>
      <c r="AJ20" s="292"/>
      <c r="AK20" s="292"/>
      <c r="AL20" s="293"/>
      <c r="AM20" s="292"/>
      <c r="AN20" s="292"/>
      <c r="AO20" s="294"/>
      <c r="AP20" s="292"/>
      <c r="AQ20" s="297"/>
      <c r="AR20" s="297"/>
      <c r="AS20" s="297"/>
      <c r="AT20" s="297"/>
      <c r="AU20" s="296"/>
      <c r="AV20" s="298"/>
      <c r="AW20" s="277"/>
      <c r="AX20" s="277"/>
      <c r="AY20" s="277"/>
      <c r="AZ20" s="277"/>
      <c r="BA20" s="277"/>
      <c r="BB20" s="277"/>
      <c r="BC20" s="277"/>
      <c r="BD20" s="277"/>
      <c r="BE20" s="277"/>
      <c r="BF20" s="277"/>
      <c r="BG20" s="277"/>
      <c r="BH20" s="277"/>
      <c r="BI20" s="277"/>
      <c r="BJ20" s="277"/>
      <c r="BK20" s="277"/>
      <c r="BL20" s="277"/>
      <c r="BM20" s="277"/>
      <c r="BN20" s="277"/>
      <c r="BO20" s="277"/>
      <c r="BP20" s="277"/>
      <c r="BQ20" s="277"/>
      <c r="BR20" s="277"/>
    </row>
    <row r="21" spans="2:70" s="278" customFormat="1" ht="6" customHeight="1" x14ac:dyDescent="0.2">
      <c r="B21" s="440"/>
      <c r="C21" s="441"/>
      <c r="D21" s="441"/>
      <c r="E21" s="441"/>
      <c r="F21" s="441"/>
      <c r="G21" s="441"/>
      <c r="H21" s="442"/>
      <c r="I21" s="279"/>
      <c r="J21" s="280"/>
      <c r="K21" s="281"/>
      <c r="L21" s="281"/>
      <c r="M21" s="282"/>
      <c r="N21" s="283"/>
      <c r="O21" s="284"/>
      <c r="P21" s="285"/>
      <c r="Q21" s="286"/>
      <c r="R21" s="286"/>
      <c r="S21" s="283"/>
      <c r="T21" s="285"/>
      <c r="U21" s="285"/>
      <c r="V21" s="285"/>
      <c r="W21" s="285"/>
      <c r="X21" s="282"/>
      <c r="Y21" s="285"/>
      <c r="Z21" s="287"/>
      <c r="AA21" s="281"/>
      <c r="AB21" s="283"/>
      <c r="AC21" s="285"/>
      <c r="AD21" s="285"/>
      <c r="AE21" s="282"/>
      <c r="AF21" s="285"/>
      <c r="AG21" s="283"/>
      <c r="AH21" s="287"/>
      <c r="AI21" s="281"/>
      <c r="AJ21" s="285"/>
      <c r="AK21" s="285"/>
      <c r="AL21" s="283"/>
      <c r="AM21" s="285"/>
      <c r="AN21" s="285"/>
      <c r="AO21" s="282"/>
      <c r="AP21" s="285"/>
      <c r="AQ21" s="288"/>
      <c r="AR21" s="281"/>
      <c r="AS21" s="281"/>
      <c r="AT21" s="282"/>
      <c r="AU21" s="281"/>
      <c r="AV21" s="289"/>
      <c r="AW21" s="277"/>
      <c r="AX21" s="277"/>
      <c r="AY21" s="277"/>
      <c r="AZ21" s="277"/>
      <c r="BA21" s="277"/>
      <c r="BB21" s="277"/>
      <c r="BC21" s="277"/>
      <c r="BD21" s="277"/>
      <c r="BE21" s="277"/>
      <c r="BF21" s="277"/>
      <c r="BG21" s="277"/>
      <c r="BH21" s="277"/>
      <c r="BI21" s="277"/>
      <c r="BJ21" s="277"/>
      <c r="BK21" s="277"/>
      <c r="BL21" s="277"/>
      <c r="BM21" s="277"/>
      <c r="BN21" s="277"/>
      <c r="BO21" s="277"/>
      <c r="BP21" s="277"/>
      <c r="BQ21" s="277"/>
      <c r="BR21" s="277"/>
    </row>
    <row r="22" spans="2:70" s="278" customFormat="1" ht="26.25" customHeight="1" x14ac:dyDescent="0.2">
      <c r="B22" s="440"/>
      <c r="C22" s="441"/>
      <c r="D22" s="441"/>
      <c r="E22" s="441"/>
      <c r="F22" s="441"/>
      <c r="G22" s="441"/>
      <c r="H22" s="442"/>
      <c r="I22" s="290"/>
      <c r="J22" s="291" t="s">
        <v>248</v>
      </c>
      <c r="K22" s="296"/>
      <c r="L22" s="296"/>
      <c r="M22" s="294"/>
      <c r="N22" s="293"/>
      <c r="O22" s="297"/>
      <c r="P22" s="292"/>
      <c r="Q22" s="299"/>
      <c r="R22" s="299" t="s">
        <v>117</v>
      </c>
      <c r="S22" s="293"/>
      <c r="T22" s="292"/>
      <c r="U22" s="292"/>
      <c r="V22" s="300"/>
      <c r="W22" s="300"/>
      <c r="X22" s="301"/>
      <c r="Y22" s="300"/>
      <c r="Z22" s="302"/>
      <c r="AA22" s="303"/>
      <c r="AB22" s="304"/>
      <c r="AC22" s="300"/>
      <c r="AD22" s="300"/>
      <c r="AE22" s="301"/>
      <c r="AF22" s="300"/>
      <c r="AG22" s="304"/>
      <c r="AH22" s="302"/>
      <c r="AI22" s="303"/>
      <c r="AJ22" s="300"/>
      <c r="AK22" s="300"/>
      <c r="AL22" s="304"/>
      <c r="AM22" s="305"/>
      <c r="AN22" s="292"/>
      <c r="AO22" s="294"/>
      <c r="AP22" s="292"/>
      <c r="AQ22" s="306"/>
      <c r="AR22" s="296"/>
      <c r="AS22" s="296"/>
      <c r="AT22" s="294"/>
      <c r="AU22" s="296"/>
      <c r="AV22" s="298"/>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row>
    <row r="23" spans="2:70" s="278" customFormat="1" ht="6" customHeight="1" x14ac:dyDescent="0.2">
      <c r="B23" s="443"/>
      <c r="C23" s="444"/>
      <c r="D23" s="444"/>
      <c r="E23" s="444"/>
      <c r="F23" s="444"/>
      <c r="G23" s="444"/>
      <c r="H23" s="445"/>
      <c r="I23" s="290"/>
      <c r="J23" s="291"/>
      <c r="K23" s="296"/>
      <c r="L23" s="296"/>
      <c r="M23" s="294"/>
      <c r="N23" s="293"/>
      <c r="O23" s="297"/>
      <c r="P23" s="292"/>
      <c r="Q23" s="299"/>
      <c r="R23" s="299"/>
      <c r="S23" s="293"/>
      <c r="T23" s="292"/>
      <c r="U23" s="292"/>
      <c r="V23" s="292"/>
      <c r="W23" s="292"/>
      <c r="X23" s="294"/>
      <c r="Y23" s="292"/>
      <c r="Z23" s="295"/>
      <c r="AA23" s="296"/>
      <c r="AB23" s="293"/>
      <c r="AC23" s="292"/>
      <c r="AD23" s="292"/>
      <c r="AE23" s="294"/>
      <c r="AF23" s="292"/>
      <c r="AG23" s="293"/>
      <c r="AH23" s="295"/>
      <c r="AI23" s="296"/>
      <c r="AJ23" s="292"/>
      <c r="AK23" s="292"/>
      <c r="AL23" s="293"/>
      <c r="AM23" s="292"/>
      <c r="AN23" s="292"/>
      <c r="AO23" s="294"/>
      <c r="AP23" s="292"/>
      <c r="AQ23" s="306"/>
      <c r="AR23" s="296"/>
      <c r="AS23" s="296"/>
      <c r="AT23" s="294"/>
      <c r="AU23" s="296"/>
      <c r="AV23" s="298"/>
      <c r="AW23" s="277"/>
      <c r="AX23" s="277"/>
      <c r="AY23" s="277"/>
      <c r="AZ23" s="277"/>
      <c r="BA23" s="277"/>
      <c r="BB23" s="277"/>
      <c r="BC23" s="277"/>
      <c r="BD23" s="277"/>
      <c r="BE23" s="277"/>
      <c r="BF23" s="277"/>
      <c r="BG23" s="277"/>
      <c r="BH23" s="277"/>
      <c r="BI23" s="277"/>
      <c r="BJ23" s="277"/>
      <c r="BK23" s="277"/>
      <c r="BL23" s="277"/>
      <c r="BM23" s="277"/>
      <c r="BN23" s="277"/>
      <c r="BO23" s="277"/>
      <c r="BP23" s="277"/>
      <c r="BQ23" s="277"/>
      <c r="BR23" s="277"/>
    </row>
    <row r="24" spans="2:70" s="122" customFormat="1" ht="26.25" customHeight="1" x14ac:dyDescent="0.2">
      <c r="B24" s="421" t="s">
        <v>72</v>
      </c>
      <c r="C24" s="422"/>
      <c r="D24" s="422"/>
      <c r="E24" s="422"/>
      <c r="F24" s="422"/>
      <c r="G24" s="422"/>
      <c r="H24" s="446"/>
      <c r="I24" s="447"/>
      <c r="J24" s="448"/>
      <c r="K24" s="448"/>
      <c r="L24" s="448"/>
      <c r="M24" s="448"/>
      <c r="N24" s="448"/>
      <c r="O24" s="448"/>
      <c r="P24" s="448"/>
      <c r="Q24" s="448"/>
      <c r="R24" s="448"/>
      <c r="S24" s="448"/>
      <c r="T24" s="448"/>
      <c r="U24" s="448"/>
      <c r="V24" s="448"/>
      <c r="W24" s="448"/>
      <c r="X24" s="448"/>
      <c r="Y24" s="448"/>
      <c r="Z24" s="448"/>
      <c r="AA24" s="448"/>
      <c r="AB24" s="448"/>
      <c r="AC24" s="448"/>
      <c r="AD24" s="448"/>
      <c r="AE24" s="448"/>
      <c r="AF24" s="448"/>
      <c r="AG24" s="448"/>
      <c r="AH24" s="448"/>
      <c r="AI24" s="448"/>
      <c r="AJ24" s="448"/>
      <c r="AK24" s="448"/>
      <c r="AL24" s="448"/>
      <c r="AM24" s="448"/>
      <c r="AN24" s="448"/>
      <c r="AO24" s="448"/>
      <c r="AP24" s="448"/>
      <c r="AQ24" s="448"/>
      <c r="AR24" s="448"/>
      <c r="AS24" s="448"/>
      <c r="AT24" s="448"/>
      <c r="AU24" s="448"/>
      <c r="AV24" s="449"/>
      <c r="AW24" s="307"/>
      <c r="AX24" s="307"/>
      <c r="AY24" s="307"/>
      <c r="AZ24" s="307"/>
      <c r="BA24" s="307"/>
      <c r="BB24" s="307"/>
      <c r="BC24" s="307"/>
      <c r="BD24" s="307"/>
      <c r="BE24" s="307"/>
      <c r="BF24" s="307"/>
      <c r="BG24" s="307"/>
      <c r="BH24" s="307"/>
      <c r="BI24" s="307"/>
      <c r="BJ24" s="307"/>
      <c r="BK24" s="307"/>
      <c r="BL24" s="307"/>
      <c r="BM24" s="307"/>
      <c r="BN24" s="307"/>
      <c r="BO24" s="307"/>
      <c r="BP24" s="307"/>
      <c r="BQ24" s="307"/>
      <c r="BR24" s="307"/>
    </row>
    <row r="25" spans="2:70" s="122" customFormat="1" ht="26.25" customHeight="1" x14ac:dyDescent="0.2">
      <c r="B25" s="421" t="s">
        <v>73</v>
      </c>
      <c r="C25" s="422"/>
      <c r="D25" s="422"/>
      <c r="E25" s="422"/>
      <c r="F25" s="422"/>
      <c r="G25" s="422"/>
      <c r="H25" s="422"/>
      <c r="I25" s="423"/>
      <c r="J25" s="424"/>
      <c r="K25" s="424"/>
      <c r="L25" s="424"/>
      <c r="M25" s="424"/>
      <c r="N25" s="424"/>
      <c r="O25" s="424"/>
      <c r="P25" s="424"/>
      <c r="Q25" s="424"/>
      <c r="R25" s="424"/>
      <c r="S25" s="424"/>
      <c r="T25" s="424"/>
      <c r="U25" s="424"/>
      <c r="V25" s="424"/>
      <c r="W25" s="424"/>
      <c r="X25" s="424"/>
      <c r="Y25" s="424"/>
      <c r="Z25" s="424"/>
      <c r="AA25" s="424"/>
      <c r="AB25" s="424"/>
      <c r="AC25" s="424"/>
      <c r="AD25" s="424"/>
      <c r="AE25" s="424"/>
      <c r="AF25" s="424"/>
      <c r="AG25" s="424"/>
      <c r="AH25" s="424"/>
      <c r="AI25" s="424"/>
      <c r="AJ25" s="424"/>
      <c r="AK25" s="424"/>
      <c r="AL25" s="424"/>
      <c r="AM25" s="424"/>
      <c r="AN25" s="424"/>
      <c r="AO25" s="424"/>
      <c r="AP25" s="424"/>
      <c r="AQ25" s="424"/>
      <c r="AR25" s="424"/>
      <c r="AS25" s="424"/>
      <c r="AT25" s="424"/>
      <c r="AU25" s="424"/>
      <c r="AV25" s="425"/>
      <c r="AW25" s="307"/>
      <c r="AX25" s="307"/>
      <c r="AY25" s="307"/>
      <c r="AZ25" s="307"/>
      <c r="BA25" s="308"/>
      <c r="BB25" s="308"/>
      <c r="BC25" s="308"/>
      <c r="BD25" s="308"/>
      <c r="BE25" s="308"/>
      <c r="BF25" s="308"/>
      <c r="BG25" s="308"/>
      <c r="BH25" s="308"/>
      <c r="BI25" s="308"/>
      <c r="BJ25" s="308"/>
      <c r="BK25" s="308"/>
      <c r="BL25" s="308"/>
      <c r="BM25" s="308"/>
      <c r="BN25" s="308"/>
      <c r="BO25" s="308"/>
      <c r="BP25" s="308"/>
      <c r="BQ25" s="308"/>
      <c r="BR25" s="308"/>
    </row>
    <row r="26" spans="2:70" s="122" customFormat="1" ht="26.25" customHeight="1" x14ac:dyDescent="0.2">
      <c r="B26" s="421" t="s">
        <v>68</v>
      </c>
      <c r="C26" s="422"/>
      <c r="D26" s="422"/>
      <c r="E26" s="422"/>
      <c r="F26" s="422"/>
      <c r="G26" s="422"/>
      <c r="H26" s="446"/>
      <c r="I26" s="452"/>
      <c r="J26" s="453"/>
      <c r="K26" s="453"/>
      <c r="L26" s="453"/>
      <c r="M26" s="453"/>
      <c r="N26" s="453"/>
      <c r="O26" s="453"/>
      <c r="P26" s="453"/>
      <c r="Q26" s="453"/>
      <c r="R26" s="453"/>
      <c r="S26" s="453"/>
      <c r="T26" s="453"/>
      <c r="U26" s="453"/>
      <c r="V26" s="453"/>
      <c r="W26" s="453"/>
      <c r="X26" s="453"/>
      <c r="Y26" s="453"/>
      <c r="Z26" s="453"/>
      <c r="AA26" s="453"/>
      <c r="AB26" s="453"/>
      <c r="AC26" s="453"/>
      <c r="AD26" s="453"/>
      <c r="AE26" s="453"/>
      <c r="AF26" s="453"/>
      <c r="AG26" s="453"/>
      <c r="AH26" s="453"/>
      <c r="AI26" s="453"/>
      <c r="AJ26" s="453"/>
      <c r="AK26" s="453"/>
      <c r="AL26" s="453"/>
      <c r="AM26" s="453"/>
      <c r="AN26" s="453"/>
      <c r="AO26" s="453"/>
      <c r="AP26" s="453"/>
      <c r="AQ26" s="453"/>
      <c r="AR26" s="453"/>
      <c r="AS26" s="453"/>
      <c r="AT26" s="453"/>
      <c r="AU26" s="453"/>
      <c r="AV26" s="454"/>
      <c r="AW26" s="307"/>
      <c r="AX26" s="307"/>
      <c r="AY26" s="307"/>
      <c r="AZ26" s="307"/>
      <c r="BA26" s="308"/>
      <c r="BB26" s="308"/>
      <c r="BC26" s="308"/>
      <c r="BD26" s="308"/>
      <c r="BE26" s="308"/>
      <c r="BF26" s="308"/>
      <c r="BG26" s="308"/>
      <c r="BH26" s="308"/>
      <c r="BI26" s="308"/>
      <c r="BJ26" s="308"/>
      <c r="BK26" s="308"/>
      <c r="BL26" s="308"/>
      <c r="BM26" s="308"/>
      <c r="BN26" s="308"/>
      <c r="BO26" s="308"/>
      <c r="BP26" s="308"/>
      <c r="BQ26" s="308"/>
      <c r="BR26" s="308"/>
    </row>
    <row r="27" spans="2:70" s="122" customFormat="1" ht="26.25" customHeight="1" x14ac:dyDescent="0.2">
      <c r="B27" s="309" t="s">
        <v>174</v>
      </c>
      <c r="C27" s="310"/>
      <c r="D27" s="310"/>
      <c r="E27" s="310"/>
      <c r="F27" s="310"/>
      <c r="G27" s="310"/>
      <c r="H27" s="311"/>
      <c r="I27" s="426"/>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8"/>
      <c r="AW27" s="307"/>
      <c r="AX27" s="307"/>
      <c r="AY27" s="307"/>
      <c r="AZ27" s="307"/>
      <c r="BA27" s="308"/>
      <c r="BB27" s="308"/>
      <c r="BC27" s="308"/>
      <c r="BD27" s="308"/>
      <c r="BE27" s="308"/>
      <c r="BF27" s="308"/>
      <c r="BG27" s="308"/>
      <c r="BH27" s="308"/>
      <c r="BI27" s="308"/>
      <c r="BJ27" s="308"/>
      <c r="BK27" s="308"/>
      <c r="BL27" s="308"/>
      <c r="BM27" s="308"/>
      <c r="BN27" s="308"/>
      <c r="BO27" s="308"/>
      <c r="BP27" s="308"/>
      <c r="BQ27" s="308"/>
      <c r="BR27" s="308"/>
    </row>
    <row r="28" spans="2:70" s="122" customFormat="1" ht="26.25" customHeight="1" x14ac:dyDescent="0.2">
      <c r="B28" s="312" t="s">
        <v>175</v>
      </c>
      <c r="C28" s="313"/>
      <c r="D28" s="313"/>
      <c r="E28" s="313"/>
      <c r="F28" s="313"/>
      <c r="G28" s="313"/>
      <c r="H28" s="314"/>
      <c r="I28" s="450"/>
      <c r="J28" s="451"/>
      <c r="K28" s="451"/>
      <c r="L28" s="451"/>
      <c r="M28" s="451"/>
      <c r="N28" s="451"/>
      <c r="O28" s="451"/>
      <c r="P28" s="451"/>
      <c r="Q28" s="451"/>
      <c r="R28" s="451"/>
      <c r="S28" s="451"/>
      <c r="T28" s="451"/>
      <c r="U28" s="451"/>
      <c r="V28" s="451"/>
      <c r="W28" s="451"/>
      <c r="X28" s="451"/>
      <c r="Y28" s="451"/>
      <c r="Z28" s="451"/>
      <c r="AA28" s="451"/>
      <c r="AB28" s="451"/>
      <c r="AC28" s="451"/>
      <c r="AD28" s="451"/>
      <c r="AE28" s="451"/>
      <c r="AF28" s="451"/>
      <c r="AG28" s="451"/>
      <c r="AH28" s="451"/>
      <c r="AI28" s="451"/>
      <c r="AJ28" s="451"/>
      <c r="AK28" s="451"/>
      <c r="AL28" s="451"/>
      <c r="AM28" s="451"/>
      <c r="AN28" s="451"/>
      <c r="AO28" s="451"/>
      <c r="AP28" s="451"/>
      <c r="AQ28" s="451"/>
      <c r="AR28" s="451"/>
      <c r="AS28" s="451"/>
      <c r="AT28" s="451"/>
      <c r="AU28" s="451"/>
      <c r="AV28" s="315"/>
      <c r="AW28" s="307"/>
      <c r="AX28" s="307"/>
      <c r="AY28" s="307"/>
      <c r="AZ28" s="307"/>
      <c r="BA28" s="307"/>
      <c r="BB28" s="307"/>
      <c r="BC28" s="307"/>
      <c r="BD28" s="307"/>
      <c r="BE28" s="307"/>
      <c r="BF28" s="307"/>
      <c r="BG28" s="307"/>
      <c r="BH28" s="307"/>
      <c r="BI28" s="307"/>
      <c r="BJ28" s="307"/>
      <c r="BK28" s="307"/>
      <c r="BL28" s="307"/>
      <c r="BM28" s="307"/>
      <c r="BN28" s="307"/>
      <c r="BO28" s="307"/>
      <c r="BP28" s="307"/>
      <c r="BQ28" s="307"/>
      <c r="BR28" s="307"/>
    </row>
    <row r="29" spans="2:70" s="122" customFormat="1" ht="26.25" customHeight="1" x14ac:dyDescent="0.2">
      <c r="B29" s="316" t="s">
        <v>193</v>
      </c>
      <c r="C29" s="317"/>
      <c r="D29" s="317"/>
      <c r="E29" s="317"/>
      <c r="F29" s="317"/>
      <c r="G29" s="317"/>
      <c r="H29" s="318"/>
      <c r="I29" s="429"/>
      <c r="J29" s="430"/>
      <c r="K29" s="430"/>
      <c r="L29" s="430"/>
      <c r="M29" s="430"/>
      <c r="N29" s="430"/>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321"/>
      <c r="AW29" s="307"/>
      <c r="AX29" s="307"/>
      <c r="AY29" s="307"/>
      <c r="AZ29" s="307"/>
      <c r="BA29" s="307"/>
      <c r="BB29" s="307"/>
      <c r="BC29" s="307"/>
      <c r="BD29" s="307"/>
      <c r="BE29" s="307"/>
      <c r="BF29" s="307"/>
      <c r="BG29" s="307"/>
      <c r="BH29" s="307"/>
      <c r="BI29" s="307"/>
      <c r="BJ29" s="307"/>
      <c r="BK29" s="307"/>
      <c r="BL29" s="307"/>
      <c r="BM29" s="307"/>
      <c r="BN29" s="307"/>
      <c r="BO29" s="307"/>
      <c r="BP29" s="307"/>
      <c r="BQ29" s="307"/>
      <c r="BR29" s="307"/>
    </row>
    <row r="30" spans="2:70" s="122" customFormat="1" ht="20.45" customHeight="1" x14ac:dyDescent="0.2">
      <c r="B30" s="319"/>
      <c r="C30" s="320"/>
      <c r="D30" s="456"/>
      <c r="E30" s="456"/>
      <c r="F30" s="456"/>
      <c r="G30" s="456"/>
      <c r="H30" s="456"/>
      <c r="I30" s="456"/>
      <c r="J30" s="456"/>
      <c r="K30" s="456"/>
      <c r="L30" s="456"/>
      <c r="M30" s="456"/>
      <c r="N30" s="320"/>
      <c r="O30" s="457"/>
      <c r="P30" s="457"/>
      <c r="Q30" s="457"/>
      <c r="R30" s="457"/>
      <c r="T30" s="457"/>
      <c r="U30" s="457"/>
      <c r="V30" s="457"/>
      <c r="W30" s="457"/>
      <c r="X30" s="457"/>
      <c r="Y30" s="457"/>
      <c r="Z30" s="457"/>
      <c r="AA30" s="457"/>
      <c r="AC30" s="458"/>
      <c r="AD30" s="458"/>
      <c r="AE30" s="458"/>
      <c r="AF30" s="458"/>
      <c r="AG30" s="123"/>
      <c r="AH30" s="458"/>
      <c r="AI30" s="458"/>
      <c r="AJ30" s="458"/>
      <c r="AK30" s="458"/>
      <c r="AM30" s="458"/>
      <c r="AN30" s="458"/>
      <c r="AO30" s="458"/>
      <c r="AP30" s="458"/>
      <c r="AR30" s="455"/>
      <c r="AS30" s="455"/>
      <c r="AT30" s="455"/>
      <c r="AU30" s="455"/>
      <c r="AW30" s="307"/>
      <c r="AX30" s="307"/>
      <c r="AY30" s="307"/>
      <c r="AZ30" s="307"/>
      <c r="BA30" s="308"/>
      <c r="BB30" s="308"/>
      <c r="BC30" s="308"/>
      <c r="BD30" s="308"/>
      <c r="BE30" s="308"/>
      <c r="BF30" s="308"/>
      <c r="BG30" s="308"/>
      <c r="BH30" s="308"/>
      <c r="BI30" s="308"/>
      <c r="BJ30" s="308"/>
      <c r="BK30" s="308"/>
      <c r="BL30" s="308"/>
      <c r="BM30" s="308"/>
      <c r="BN30" s="308"/>
      <c r="BO30" s="308"/>
      <c r="BP30" s="308"/>
      <c r="BQ30" s="308"/>
      <c r="BR30" s="308"/>
    </row>
    <row r="31" spans="2:70" s="278" customFormat="1" ht="25.5" customHeight="1" x14ac:dyDescent="0.2">
      <c r="B31" s="431" t="s">
        <v>116</v>
      </c>
      <c r="C31" s="432"/>
      <c r="D31" s="432"/>
      <c r="E31" s="432"/>
      <c r="F31" s="432"/>
      <c r="G31" s="432"/>
      <c r="H31" s="433"/>
      <c r="I31" s="434"/>
      <c r="J31" s="435"/>
      <c r="K31" s="435"/>
      <c r="L31" s="435"/>
      <c r="M31" s="435"/>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6"/>
      <c r="AW31" s="277"/>
      <c r="AX31" s="277"/>
      <c r="AY31" s="277"/>
      <c r="AZ31" s="277"/>
      <c r="BA31" s="277"/>
      <c r="BB31" s="277"/>
      <c r="BC31" s="277"/>
      <c r="BD31" s="277"/>
      <c r="BE31" s="277"/>
      <c r="BF31" s="277"/>
      <c r="BG31" s="277"/>
      <c r="BH31" s="277"/>
      <c r="BI31" s="277"/>
      <c r="BJ31" s="277"/>
      <c r="BK31" s="277"/>
      <c r="BL31" s="277"/>
      <c r="BM31" s="277"/>
      <c r="BN31" s="277"/>
      <c r="BO31" s="277"/>
      <c r="BP31" s="277"/>
      <c r="BQ31" s="277"/>
      <c r="BR31" s="277"/>
    </row>
    <row r="32" spans="2:70" s="278" customFormat="1" ht="6" customHeight="1" x14ac:dyDescent="0.2">
      <c r="B32" s="437" t="s">
        <v>71</v>
      </c>
      <c r="C32" s="438"/>
      <c r="D32" s="438"/>
      <c r="E32" s="438"/>
      <c r="F32" s="438"/>
      <c r="G32" s="438"/>
      <c r="H32" s="439"/>
      <c r="I32" s="279"/>
      <c r="J32" s="280"/>
      <c r="K32" s="281"/>
      <c r="L32" s="281"/>
      <c r="M32" s="282"/>
      <c r="N32" s="283"/>
      <c r="O32" s="284"/>
      <c r="P32" s="285"/>
      <c r="Q32" s="286"/>
      <c r="R32" s="286"/>
      <c r="S32" s="283"/>
      <c r="T32" s="285"/>
      <c r="U32" s="285"/>
      <c r="V32" s="285"/>
      <c r="W32" s="285"/>
      <c r="X32" s="282"/>
      <c r="Y32" s="285"/>
      <c r="Z32" s="287"/>
      <c r="AA32" s="281"/>
      <c r="AB32" s="283"/>
      <c r="AC32" s="285"/>
      <c r="AD32" s="285"/>
      <c r="AE32" s="282"/>
      <c r="AF32" s="285"/>
      <c r="AG32" s="283"/>
      <c r="AH32" s="287"/>
      <c r="AI32" s="281"/>
      <c r="AJ32" s="285"/>
      <c r="AK32" s="285"/>
      <c r="AL32" s="283"/>
      <c r="AM32" s="285"/>
      <c r="AN32" s="285"/>
      <c r="AO32" s="282"/>
      <c r="AP32" s="285"/>
      <c r="AQ32" s="288"/>
      <c r="AR32" s="281"/>
      <c r="AS32" s="281"/>
      <c r="AT32" s="282"/>
      <c r="AU32" s="281"/>
      <c r="AV32" s="289"/>
      <c r="AW32" s="277"/>
      <c r="AX32" s="277"/>
      <c r="AY32" s="277"/>
      <c r="AZ32" s="277"/>
      <c r="BA32" s="277"/>
      <c r="BB32" s="277"/>
      <c r="BC32" s="277"/>
      <c r="BD32" s="277"/>
      <c r="BE32" s="277"/>
      <c r="BF32" s="277"/>
      <c r="BG32" s="277"/>
      <c r="BH32" s="277"/>
      <c r="BI32" s="277"/>
      <c r="BJ32" s="277"/>
      <c r="BK32" s="277"/>
      <c r="BL32" s="277"/>
      <c r="BM32" s="277"/>
      <c r="BN32" s="277"/>
      <c r="BO32" s="277"/>
      <c r="BP32" s="277"/>
      <c r="BQ32" s="277"/>
      <c r="BR32" s="277"/>
    </row>
    <row r="33" spans="2:70" s="278" customFormat="1" ht="26.25" customHeight="1" x14ac:dyDescent="0.2">
      <c r="B33" s="440"/>
      <c r="C33" s="441"/>
      <c r="D33" s="441"/>
      <c r="E33" s="441"/>
      <c r="F33" s="441"/>
      <c r="G33" s="441"/>
      <c r="H33" s="442"/>
      <c r="I33" s="290"/>
      <c r="J33" s="291" t="s">
        <v>247</v>
      </c>
      <c r="K33" s="292"/>
      <c r="L33" s="292"/>
      <c r="M33" s="292"/>
      <c r="N33" s="293"/>
      <c r="O33" s="294"/>
      <c r="P33" s="292"/>
      <c r="Q33" s="295"/>
      <c r="R33" s="296"/>
      <c r="S33" s="293"/>
      <c r="T33" s="296" t="s">
        <v>165</v>
      </c>
      <c r="U33" s="292"/>
      <c r="V33" s="292"/>
      <c r="W33" s="292"/>
      <c r="X33" s="294"/>
      <c r="Y33" s="292"/>
      <c r="Z33" s="295"/>
      <c r="AA33" s="296" t="s">
        <v>167</v>
      </c>
      <c r="AB33" s="293"/>
      <c r="AC33" s="292"/>
      <c r="AD33" s="292"/>
      <c r="AE33" s="294"/>
      <c r="AF33" s="292"/>
      <c r="AG33" s="293"/>
      <c r="AH33" s="295"/>
      <c r="AI33" s="296" t="s">
        <v>166</v>
      </c>
      <c r="AJ33" s="292"/>
      <c r="AK33" s="292"/>
      <c r="AL33" s="293"/>
      <c r="AM33" s="292"/>
      <c r="AN33" s="292"/>
      <c r="AO33" s="294"/>
      <c r="AP33" s="292"/>
      <c r="AQ33" s="297"/>
      <c r="AR33" s="297"/>
      <c r="AS33" s="297"/>
      <c r="AT33" s="297"/>
      <c r="AU33" s="296"/>
      <c r="AV33" s="298"/>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row>
    <row r="34" spans="2:70" s="278" customFormat="1" ht="6" customHeight="1" x14ac:dyDescent="0.2">
      <c r="B34" s="440"/>
      <c r="C34" s="441"/>
      <c r="D34" s="441"/>
      <c r="E34" s="441"/>
      <c r="F34" s="441"/>
      <c r="G34" s="441"/>
      <c r="H34" s="442"/>
      <c r="I34" s="279"/>
      <c r="J34" s="280"/>
      <c r="K34" s="281"/>
      <c r="L34" s="281"/>
      <c r="M34" s="282"/>
      <c r="N34" s="283"/>
      <c r="O34" s="284"/>
      <c r="P34" s="285"/>
      <c r="Q34" s="286"/>
      <c r="R34" s="286"/>
      <c r="S34" s="283"/>
      <c r="T34" s="285"/>
      <c r="U34" s="285"/>
      <c r="V34" s="285"/>
      <c r="W34" s="285"/>
      <c r="X34" s="282"/>
      <c r="Y34" s="285"/>
      <c r="Z34" s="287"/>
      <c r="AA34" s="281"/>
      <c r="AB34" s="283"/>
      <c r="AC34" s="285"/>
      <c r="AD34" s="285"/>
      <c r="AE34" s="282"/>
      <c r="AF34" s="285"/>
      <c r="AG34" s="283"/>
      <c r="AH34" s="287"/>
      <c r="AI34" s="281"/>
      <c r="AJ34" s="285"/>
      <c r="AK34" s="285"/>
      <c r="AL34" s="283"/>
      <c r="AM34" s="285"/>
      <c r="AN34" s="285"/>
      <c r="AO34" s="282"/>
      <c r="AP34" s="285"/>
      <c r="AQ34" s="288"/>
      <c r="AR34" s="281"/>
      <c r="AS34" s="281"/>
      <c r="AT34" s="282"/>
      <c r="AU34" s="281"/>
      <c r="AV34" s="289"/>
      <c r="AW34" s="277"/>
      <c r="AX34" s="277"/>
      <c r="AY34" s="277"/>
      <c r="AZ34" s="277"/>
      <c r="BA34" s="277"/>
      <c r="BB34" s="277"/>
      <c r="BC34" s="277"/>
      <c r="BD34" s="277"/>
      <c r="BE34" s="277"/>
      <c r="BF34" s="277"/>
      <c r="BG34" s="277"/>
      <c r="BH34" s="277"/>
      <c r="BI34" s="277"/>
      <c r="BJ34" s="277"/>
      <c r="BK34" s="277"/>
      <c r="BL34" s="277"/>
      <c r="BM34" s="277"/>
      <c r="BN34" s="277"/>
      <c r="BO34" s="277"/>
      <c r="BP34" s="277"/>
      <c r="BQ34" s="277"/>
      <c r="BR34" s="277"/>
    </row>
    <row r="35" spans="2:70" s="278" customFormat="1" ht="26.25" customHeight="1" x14ac:dyDescent="0.2">
      <c r="B35" s="440"/>
      <c r="C35" s="441"/>
      <c r="D35" s="441"/>
      <c r="E35" s="441"/>
      <c r="F35" s="441"/>
      <c r="G35" s="441"/>
      <c r="H35" s="442"/>
      <c r="I35" s="290"/>
      <c r="J35" s="291" t="s">
        <v>248</v>
      </c>
      <c r="K35" s="296"/>
      <c r="L35" s="296"/>
      <c r="M35" s="294"/>
      <c r="N35" s="293"/>
      <c r="O35" s="297"/>
      <c r="P35" s="292"/>
      <c r="Q35" s="299"/>
      <c r="R35" s="299" t="s">
        <v>117</v>
      </c>
      <c r="S35" s="293"/>
      <c r="T35" s="292"/>
      <c r="U35" s="292"/>
      <c r="V35" s="300"/>
      <c r="W35" s="300"/>
      <c r="X35" s="301"/>
      <c r="Y35" s="300"/>
      <c r="Z35" s="302"/>
      <c r="AA35" s="303"/>
      <c r="AB35" s="304"/>
      <c r="AC35" s="300"/>
      <c r="AD35" s="300"/>
      <c r="AE35" s="301"/>
      <c r="AF35" s="300"/>
      <c r="AG35" s="304"/>
      <c r="AH35" s="302"/>
      <c r="AI35" s="303"/>
      <c r="AJ35" s="300"/>
      <c r="AK35" s="300"/>
      <c r="AL35" s="304"/>
      <c r="AM35" s="305"/>
      <c r="AN35" s="292"/>
      <c r="AO35" s="294"/>
      <c r="AP35" s="292"/>
      <c r="AQ35" s="306"/>
      <c r="AR35" s="296"/>
      <c r="AS35" s="296"/>
      <c r="AT35" s="294"/>
      <c r="AU35" s="296"/>
      <c r="AV35" s="298"/>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row>
    <row r="36" spans="2:70" s="278" customFormat="1" ht="6" customHeight="1" x14ac:dyDescent="0.2">
      <c r="B36" s="443"/>
      <c r="C36" s="444"/>
      <c r="D36" s="444"/>
      <c r="E36" s="444"/>
      <c r="F36" s="444"/>
      <c r="G36" s="444"/>
      <c r="H36" s="445"/>
      <c r="I36" s="290"/>
      <c r="J36" s="291"/>
      <c r="K36" s="296"/>
      <c r="L36" s="296"/>
      <c r="M36" s="294"/>
      <c r="N36" s="293"/>
      <c r="O36" s="297"/>
      <c r="P36" s="292"/>
      <c r="Q36" s="299"/>
      <c r="R36" s="299"/>
      <c r="S36" s="293"/>
      <c r="T36" s="292"/>
      <c r="U36" s="292"/>
      <c r="V36" s="292"/>
      <c r="W36" s="292"/>
      <c r="X36" s="294"/>
      <c r="Y36" s="292"/>
      <c r="Z36" s="295"/>
      <c r="AA36" s="296"/>
      <c r="AB36" s="293"/>
      <c r="AC36" s="292"/>
      <c r="AD36" s="292"/>
      <c r="AE36" s="294"/>
      <c r="AF36" s="292"/>
      <c r="AG36" s="293"/>
      <c r="AH36" s="295"/>
      <c r="AI36" s="296"/>
      <c r="AJ36" s="292"/>
      <c r="AK36" s="292"/>
      <c r="AL36" s="293"/>
      <c r="AM36" s="292"/>
      <c r="AN36" s="292"/>
      <c r="AO36" s="294"/>
      <c r="AP36" s="292"/>
      <c r="AQ36" s="306"/>
      <c r="AR36" s="296"/>
      <c r="AS36" s="296"/>
      <c r="AT36" s="294"/>
      <c r="AU36" s="296"/>
      <c r="AV36" s="298"/>
      <c r="AW36" s="277"/>
      <c r="AX36" s="277"/>
      <c r="AY36" s="277"/>
      <c r="AZ36" s="277"/>
      <c r="BA36" s="277"/>
      <c r="BB36" s="277"/>
      <c r="BC36" s="277"/>
      <c r="BD36" s="277"/>
      <c r="BE36" s="277"/>
      <c r="BF36" s="277"/>
      <c r="BG36" s="277"/>
      <c r="BH36" s="277"/>
      <c r="BI36" s="277"/>
      <c r="BJ36" s="277"/>
      <c r="BK36" s="277"/>
      <c r="BL36" s="277"/>
      <c r="BM36" s="277"/>
      <c r="BN36" s="277"/>
      <c r="BO36" s="277"/>
      <c r="BP36" s="277"/>
      <c r="BQ36" s="277"/>
      <c r="BR36" s="277"/>
    </row>
    <row r="37" spans="2:70" s="122" customFormat="1" ht="26.25" customHeight="1" x14ac:dyDescent="0.2">
      <c r="B37" s="421" t="s">
        <v>72</v>
      </c>
      <c r="C37" s="422"/>
      <c r="D37" s="422"/>
      <c r="E37" s="422"/>
      <c r="F37" s="422"/>
      <c r="G37" s="422"/>
      <c r="H37" s="446"/>
      <c r="I37" s="447"/>
      <c r="J37" s="448"/>
      <c r="K37" s="448"/>
      <c r="L37" s="448"/>
      <c r="M37" s="448"/>
      <c r="N37" s="448"/>
      <c r="O37" s="448"/>
      <c r="P37" s="448"/>
      <c r="Q37" s="448"/>
      <c r="R37" s="448"/>
      <c r="S37" s="448"/>
      <c r="T37" s="448"/>
      <c r="U37" s="448"/>
      <c r="V37" s="448"/>
      <c r="W37" s="448"/>
      <c r="X37" s="448"/>
      <c r="Y37" s="448"/>
      <c r="Z37" s="448"/>
      <c r="AA37" s="448"/>
      <c r="AB37" s="448"/>
      <c r="AC37" s="448"/>
      <c r="AD37" s="448"/>
      <c r="AE37" s="448"/>
      <c r="AF37" s="448"/>
      <c r="AG37" s="448"/>
      <c r="AH37" s="448"/>
      <c r="AI37" s="448"/>
      <c r="AJ37" s="448"/>
      <c r="AK37" s="448"/>
      <c r="AL37" s="448"/>
      <c r="AM37" s="448"/>
      <c r="AN37" s="448"/>
      <c r="AO37" s="448"/>
      <c r="AP37" s="448"/>
      <c r="AQ37" s="448"/>
      <c r="AR37" s="448"/>
      <c r="AS37" s="448"/>
      <c r="AT37" s="448"/>
      <c r="AU37" s="448"/>
      <c r="AV37" s="449"/>
      <c r="AW37" s="307"/>
      <c r="AX37" s="307"/>
      <c r="AY37" s="307"/>
      <c r="AZ37" s="307"/>
      <c r="BA37" s="307"/>
      <c r="BB37" s="307"/>
      <c r="BC37" s="307"/>
      <c r="BD37" s="307"/>
      <c r="BE37" s="307"/>
      <c r="BF37" s="307"/>
      <c r="BG37" s="307"/>
      <c r="BH37" s="307"/>
      <c r="BI37" s="307"/>
      <c r="BJ37" s="307"/>
      <c r="BK37" s="307"/>
      <c r="BL37" s="307"/>
      <c r="BM37" s="307"/>
      <c r="BN37" s="307"/>
      <c r="BO37" s="307"/>
      <c r="BP37" s="307"/>
      <c r="BQ37" s="307"/>
      <c r="BR37" s="307"/>
    </row>
    <row r="38" spans="2:70" s="122" customFormat="1" ht="26.25" customHeight="1" x14ac:dyDescent="0.2">
      <c r="B38" s="421" t="s">
        <v>73</v>
      </c>
      <c r="C38" s="422"/>
      <c r="D38" s="422"/>
      <c r="E38" s="422"/>
      <c r="F38" s="422"/>
      <c r="G38" s="422"/>
      <c r="H38" s="422"/>
      <c r="I38" s="423"/>
      <c r="J38" s="424"/>
      <c r="K38" s="424"/>
      <c r="L38" s="424"/>
      <c r="M38" s="424"/>
      <c r="N38" s="424"/>
      <c r="O38" s="424"/>
      <c r="P38" s="424"/>
      <c r="Q38" s="424"/>
      <c r="R38" s="424"/>
      <c r="S38" s="424"/>
      <c r="T38" s="424"/>
      <c r="U38" s="424"/>
      <c r="V38" s="424"/>
      <c r="W38" s="424"/>
      <c r="X38" s="424"/>
      <c r="Y38" s="424"/>
      <c r="Z38" s="424"/>
      <c r="AA38" s="424"/>
      <c r="AB38" s="424"/>
      <c r="AC38" s="424"/>
      <c r="AD38" s="424"/>
      <c r="AE38" s="424"/>
      <c r="AF38" s="424"/>
      <c r="AG38" s="424"/>
      <c r="AH38" s="424"/>
      <c r="AI38" s="424"/>
      <c r="AJ38" s="424"/>
      <c r="AK38" s="424"/>
      <c r="AL38" s="424"/>
      <c r="AM38" s="424"/>
      <c r="AN38" s="424"/>
      <c r="AO38" s="424"/>
      <c r="AP38" s="424"/>
      <c r="AQ38" s="424"/>
      <c r="AR38" s="424"/>
      <c r="AS38" s="424"/>
      <c r="AT38" s="424"/>
      <c r="AU38" s="424"/>
      <c r="AV38" s="425"/>
      <c r="AW38" s="307"/>
      <c r="AX38" s="307"/>
      <c r="AY38" s="307"/>
      <c r="AZ38" s="307"/>
      <c r="BA38" s="308"/>
      <c r="BB38" s="308"/>
      <c r="BC38" s="308"/>
      <c r="BD38" s="308"/>
      <c r="BE38" s="308"/>
      <c r="BF38" s="308"/>
      <c r="BG38" s="308"/>
      <c r="BH38" s="308"/>
      <c r="BI38" s="308"/>
      <c r="BJ38" s="308"/>
      <c r="BK38" s="308"/>
      <c r="BL38" s="308"/>
      <c r="BM38" s="308"/>
      <c r="BN38" s="308"/>
      <c r="BO38" s="308"/>
      <c r="BP38" s="308"/>
      <c r="BQ38" s="308"/>
      <c r="BR38" s="308"/>
    </row>
    <row r="39" spans="2:70" s="122" customFormat="1" ht="26.25" customHeight="1" x14ac:dyDescent="0.2">
      <c r="B39" s="421" t="s">
        <v>68</v>
      </c>
      <c r="C39" s="422"/>
      <c r="D39" s="422"/>
      <c r="E39" s="422"/>
      <c r="F39" s="422"/>
      <c r="G39" s="422"/>
      <c r="H39" s="446"/>
      <c r="I39" s="452"/>
      <c r="J39" s="453"/>
      <c r="K39" s="453"/>
      <c r="L39" s="453"/>
      <c r="M39" s="453"/>
      <c r="N39" s="453"/>
      <c r="O39" s="453"/>
      <c r="P39" s="453"/>
      <c r="Q39" s="453"/>
      <c r="R39" s="453"/>
      <c r="S39" s="453"/>
      <c r="T39" s="453"/>
      <c r="U39" s="453"/>
      <c r="V39" s="453"/>
      <c r="W39" s="453"/>
      <c r="X39" s="453"/>
      <c r="Y39" s="453"/>
      <c r="Z39" s="453"/>
      <c r="AA39" s="453"/>
      <c r="AB39" s="453"/>
      <c r="AC39" s="453"/>
      <c r="AD39" s="453"/>
      <c r="AE39" s="453"/>
      <c r="AF39" s="453"/>
      <c r="AG39" s="453"/>
      <c r="AH39" s="453"/>
      <c r="AI39" s="453"/>
      <c r="AJ39" s="453"/>
      <c r="AK39" s="453"/>
      <c r="AL39" s="453"/>
      <c r="AM39" s="453"/>
      <c r="AN39" s="453"/>
      <c r="AO39" s="453"/>
      <c r="AP39" s="453"/>
      <c r="AQ39" s="453"/>
      <c r="AR39" s="453"/>
      <c r="AS39" s="453"/>
      <c r="AT39" s="453"/>
      <c r="AU39" s="453"/>
      <c r="AV39" s="454"/>
      <c r="AW39" s="307"/>
      <c r="AX39" s="307"/>
      <c r="AY39" s="307"/>
      <c r="AZ39" s="307"/>
      <c r="BA39" s="308"/>
      <c r="BB39" s="308"/>
      <c r="BC39" s="308"/>
      <c r="BD39" s="308"/>
      <c r="BE39" s="308"/>
      <c r="BF39" s="308"/>
      <c r="BG39" s="308"/>
      <c r="BH39" s="308"/>
      <c r="BI39" s="308"/>
      <c r="BJ39" s="308"/>
      <c r="BK39" s="308"/>
      <c r="BL39" s="308"/>
      <c r="BM39" s="308"/>
      <c r="BN39" s="308"/>
      <c r="BO39" s="308"/>
      <c r="BP39" s="308"/>
      <c r="BQ39" s="308"/>
      <c r="BR39" s="308"/>
    </row>
    <row r="40" spans="2:70" s="122" customFormat="1" ht="26.25" customHeight="1" x14ac:dyDescent="0.2">
      <c r="B40" s="309" t="s">
        <v>174</v>
      </c>
      <c r="C40" s="310"/>
      <c r="D40" s="310"/>
      <c r="E40" s="310"/>
      <c r="F40" s="310"/>
      <c r="G40" s="310"/>
      <c r="H40" s="311"/>
      <c r="I40" s="426"/>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8"/>
      <c r="AW40" s="307"/>
      <c r="AX40" s="307"/>
      <c r="AY40" s="307"/>
      <c r="AZ40" s="307"/>
      <c r="BA40" s="308"/>
      <c r="BB40" s="308"/>
      <c r="BC40" s="308"/>
      <c r="BD40" s="308"/>
      <c r="BE40" s="308"/>
      <c r="BF40" s="308"/>
      <c r="BG40" s="308"/>
      <c r="BH40" s="308"/>
      <c r="BI40" s="308"/>
      <c r="BJ40" s="308"/>
      <c r="BK40" s="308"/>
      <c r="BL40" s="308"/>
      <c r="BM40" s="308"/>
      <c r="BN40" s="308"/>
      <c r="BO40" s="308"/>
      <c r="BP40" s="308"/>
      <c r="BQ40" s="308"/>
      <c r="BR40" s="308"/>
    </row>
    <row r="41" spans="2:70" s="122" customFormat="1" ht="26.25" customHeight="1" x14ac:dyDescent="0.2">
      <c r="B41" s="312" t="s">
        <v>175</v>
      </c>
      <c r="C41" s="313"/>
      <c r="D41" s="313"/>
      <c r="E41" s="313"/>
      <c r="F41" s="313"/>
      <c r="G41" s="313"/>
      <c r="H41" s="314"/>
      <c r="I41" s="450"/>
      <c r="J41" s="451"/>
      <c r="K41" s="451"/>
      <c r="L41" s="451"/>
      <c r="M41" s="451"/>
      <c r="N41" s="451"/>
      <c r="O41" s="451"/>
      <c r="P41" s="451"/>
      <c r="Q41" s="451"/>
      <c r="R41" s="451"/>
      <c r="S41" s="451"/>
      <c r="T41" s="451"/>
      <c r="U41" s="451"/>
      <c r="V41" s="451"/>
      <c r="W41" s="451"/>
      <c r="X41" s="451"/>
      <c r="Y41" s="451"/>
      <c r="Z41" s="451"/>
      <c r="AA41" s="451"/>
      <c r="AB41" s="451"/>
      <c r="AC41" s="451"/>
      <c r="AD41" s="451"/>
      <c r="AE41" s="451"/>
      <c r="AF41" s="451"/>
      <c r="AG41" s="451"/>
      <c r="AH41" s="451"/>
      <c r="AI41" s="451"/>
      <c r="AJ41" s="451"/>
      <c r="AK41" s="451"/>
      <c r="AL41" s="451"/>
      <c r="AM41" s="451"/>
      <c r="AN41" s="451"/>
      <c r="AO41" s="451"/>
      <c r="AP41" s="451"/>
      <c r="AQ41" s="451"/>
      <c r="AR41" s="451"/>
      <c r="AS41" s="451"/>
      <c r="AT41" s="451"/>
      <c r="AU41" s="451"/>
      <c r="AV41" s="315"/>
      <c r="AW41" s="307"/>
      <c r="AX41" s="307"/>
      <c r="AY41" s="307"/>
      <c r="AZ41" s="307"/>
      <c r="BA41" s="307"/>
      <c r="BB41" s="307"/>
      <c r="BC41" s="307"/>
      <c r="BD41" s="307"/>
      <c r="BE41" s="307"/>
      <c r="BF41" s="307"/>
      <c r="BG41" s="307"/>
      <c r="BH41" s="307"/>
      <c r="BI41" s="307"/>
      <c r="BJ41" s="307"/>
      <c r="BK41" s="307"/>
      <c r="BL41" s="307"/>
      <c r="BM41" s="307"/>
      <c r="BN41" s="307"/>
      <c r="BO41" s="307"/>
      <c r="BP41" s="307"/>
      <c r="BQ41" s="307"/>
      <c r="BR41" s="307"/>
    </row>
    <row r="42" spans="2:70" s="122" customFormat="1" ht="26.25" customHeight="1" x14ac:dyDescent="0.2">
      <c r="B42" s="316" t="s">
        <v>193</v>
      </c>
      <c r="C42" s="317"/>
      <c r="D42" s="317"/>
      <c r="E42" s="317"/>
      <c r="F42" s="317"/>
      <c r="G42" s="317"/>
      <c r="H42" s="318"/>
      <c r="I42" s="429"/>
      <c r="J42" s="430"/>
      <c r="K42" s="430"/>
      <c r="L42" s="430"/>
      <c r="M42" s="430"/>
      <c r="N42" s="430"/>
      <c r="O42" s="430"/>
      <c r="P42" s="430"/>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321"/>
      <c r="AW42" s="307"/>
      <c r="AX42" s="307"/>
      <c r="AY42" s="307"/>
      <c r="AZ42" s="307"/>
      <c r="BA42" s="307"/>
      <c r="BB42" s="307"/>
      <c r="BC42" s="307"/>
      <c r="BD42" s="307"/>
      <c r="BE42" s="307"/>
      <c r="BF42" s="307"/>
      <c r="BG42" s="307"/>
      <c r="BH42" s="307"/>
      <c r="BI42" s="307"/>
      <c r="BJ42" s="307"/>
      <c r="BK42" s="307"/>
      <c r="BL42" s="307"/>
      <c r="BM42" s="307"/>
      <c r="BN42" s="307"/>
      <c r="BO42" s="307"/>
      <c r="BP42" s="307"/>
      <c r="BQ42" s="307"/>
      <c r="BR42" s="307"/>
    </row>
    <row r="43" spans="2:70" s="122" customFormat="1" ht="24.95" customHeight="1" x14ac:dyDescent="0.2">
      <c r="B43" s="319"/>
      <c r="C43" s="320"/>
      <c r="N43" s="320"/>
      <c r="AC43" s="307"/>
      <c r="AD43" s="307"/>
      <c r="AE43" s="307"/>
      <c r="AF43" s="307"/>
      <c r="AG43" s="123"/>
      <c r="AH43" s="307"/>
      <c r="AI43" s="307"/>
      <c r="AJ43" s="307"/>
      <c r="AK43" s="307"/>
      <c r="AM43" s="307"/>
      <c r="AN43" s="307"/>
      <c r="AO43" s="307"/>
      <c r="AP43" s="307"/>
      <c r="AR43" s="307"/>
      <c r="AS43" s="307"/>
      <c r="AT43" s="307"/>
      <c r="AU43" s="307"/>
      <c r="AW43" s="307"/>
      <c r="AX43" s="307"/>
      <c r="AY43" s="307"/>
      <c r="AZ43" s="307"/>
      <c r="BA43" s="307"/>
      <c r="BB43" s="307"/>
      <c r="BC43" s="307"/>
      <c r="BD43" s="307"/>
      <c r="BE43" s="307"/>
      <c r="BF43" s="307"/>
      <c r="BG43" s="307"/>
      <c r="BH43" s="307"/>
      <c r="BI43" s="307"/>
      <c r="BJ43" s="307"/>
      <c r="BK43" s="307"/>
      <c r="BL43" s="307"/>
      <c r="BM43" s="307"/>
      <c r="BN43" s="307"/>
      <c r="BO43" s="307"/>
      <c r="BP43" s="307"/>
      <c r="BQ43" s="307"/>
      <c r="BR43" s="307"/>
    </row>
    <row r="44" spans="2:70" s="278" customFormat="1" ht="25.5" customHeight="1" x14ac:dyDescent="0.2">
      <c r="B44" s="431" t="s">
        <v>116</v>
      </c>
      <c r="C44" s="432"/>
      <c r="D44" s="432"/>
      <c r="E44" s="432"/>
      <c r="F44" s="432"/>
      <c r="G44" s="432"/>
      <c r="H44" s="433"/>
      <c r="I44" s="434"/>
      <c r="J44" s="435"/>
      <c r="K44" s="435"/>
      <c r="L44" s="435"/>
      <c r="M44" s="435"/>
      <c r="N44" s="435"/>
      <c r="O44" s="435"/>
      <c r="P44" s="435"/>
      <c r="Q44" s="435"/>
      <c r="R44" s="435"/>
      <c r="S44" s="435"/>
      <c r="T44" s="435"/>
      <c r="U44" s="435"/>
      <c r="V44" s="435"/>
      <c r="W44" s="435"/>
      <c r="X44" s="435"/>
      <c r="Y44" s="435"/>
      <c r="Z44" s="435"/>
      <c r="AA44" s="435"/>
      <c r="AB44" s="435"/>
      <c r="AC44" s="435"/>
      <c r="AD44" s="435"/>
      <c r="AE44" s="435"/>
      <c r="AF44" s="435"/>
      <c r="AG44" s="435"/>
      <c r="AH44" s="435"/>
      <c r="AI44" s="435"/>
      <c r="AJ44" s="435"/>
      <c r="AK44" s="435"/>
      <c r="AL44" s="435"/>
      <c r="AM44" s="435"/>
      <c r="AN44" s="435"/>
      <c r="AO44" s="435"/>
      <c r="AP44" s="435"/>
      <c r="AQ44" s="435"/>
      <c r="AR44" s="435"/>
      <c r="AS44" s="435"/>
      <c r="AT44" s="435"/>
      <c r="AU44" s="435"/>
      <c r="AV44" s="436"/>
      <c r="AW44" s="277"/>
      <c r="AX44" s="277"/>
      <c r="AY44" s="277"/>
      <c r="AZ44" s="277"/>
      <c r="BA44" s="277"/>
      <c r="BB44" s="277"/>
      <c r="BC44" s="277"/>
      <c r="BD44" s="277"/>
      <c r="BE44" s="277"/>
      <c r="BF44" s="277"/>
      <c r="BG44" s="277"/>
      <c r="BH44" s="277"/>
      <c r="BI44" s="277"/>
      <c r="BJ44" s="277"/>
      <c r="BK44" s="277"/>
      <c r="BL44" s="277"/>
      <c r="BM44" s="277"/>
      <c r="BN44" s="277"/>
      <c r="BO44" s="277"/>
      <c r="BP44" s="277"/>
      <c r="BQ44" s="277"/>
      <c r="BR44" s="277"/>
    </row>
    <row r="45" spans="2:70" s="278" customFormat="1" ht="6" customHeight="1" x14ac:dyDescent="0.2">
      <c r="B45" s="437" t="s">
        <v>71</v>
      </c>
      <c r="C45" s="438"/>
      <c r="D45" s="438"/>
      <c r="E45" s="438"/>
      <c r="F45" s="438"/>
      <c r="G45" s="438"/>
      <c r="H45" s="439"/>
      <c r="I45" s="279"/>
      <c r="J45" s="280"/>
      <c r="K45" s="281"/>
      <c r="L45" s="281"/>
      <c r="M45" s="282"/>
      <c r="N45" s="283"/>
      <c r="O45" s="284"/>
      <c r="P45" s="285"/>
      <c r="Q45" s="286"/>
      <c r="R45" s="286"/>
      <c r="S45" s="283"/>
      <c r="T45" s="285"/>
      <c r="U45" s="285"/>
      <c r="V45" s="285"/>
      <c r="W45" s="285"/>
      <c r="X45" s="282"/>
      <c r="Y45" s="285"/>
      <c r="Z45" s="287"/>
      <c r="AA45" s="281"/>
      <c r="AB45" s="283"/>
      <c r="AC45" s="285"/>
      <c r="AD45" s="285"/>
      <c r="AE45" s="282"/>
      <c r="AF45" s="285"/>
      <c r="AG45" s="283"/>
      <c r="AH45" s="287"/>
      <c r="AI45" s="281"/>
      <c r="AJ45" s="285"/>
      <c r="AK45" s="285"/>
      <c r="AL45" s="283"/>
      <c r="AM45" s="285"/>
      <c r="AN45" s="285"/>
      <c r="AO45" s="282"/>
      <c r="AP45" s="285"/>
      <c r="AQ45" s="288"/>
      <c r="AR45" s="281"/>
      <c r="AS45" s="281"/>
      <c r="AT45" s="282"/>
      <c r="AU45" s="281"/>
      <c r="AV45" s="289"/>
      <c r="AW45" s="277"/>
      <c r="AX45" s="277"/>
      <c r="AY45" s="277"/>
      <c r="AZ45" s="277"/>
      <c r="BA45" s="277"/>
      <c r="BB45" s="277"/>
      <c r="BC45" s="277"/>
      <c r="BD45" s="277"/>
      <c r="BE45" s="277"/>
      <c r="BF45" s="277"/>
      <c r="BG45" s="277"/>
      <c r="BH45" s="277"/>
      <c r="BI45" s="277"/>
      <c r="BJ45" s="277"/>
      <c r="BK45" s="277"/>
      <c r="BL45" s="277"/>
      <c r="BM45" s="277"/>
      <c r="BN45" s="277"/>
      <c r="BO45" s="277"/>
      <c r="BP45" s="277"/>
      <c r="BQ45" s="277"/>
      <c r="BR45" s="277"/>
    </row>
    <row r="46" spans="2:70" s="278" customFormat="1" ht="26.25" customHeight="1" x14ac:dyDescent="0.2">
      <c r="B46" s="440"/>
      <c r="C46" s="441"/>
      <c r="D46" s="441"/>
      <c r="E46" s="441"/>
      <c r="F46" s="441"/>
      <c r="G46" s="441"/>
      <c r="H46" s="442"/>
      <c r="I46" s="290"/>
      <c r="J46" s="291" t="s">
        <v>247</v>
      </c>
      <c r="K46" s="292"/>
      <c r="L46" s="292"/>
      <c r="M46" s="292"/>
      <c r="N46" s="293"/>
      <c r="O46" s="294"/>
      <c r="P46" s="292"/>
      <c r="Q46" s="295"/>
      <c r="R46" s="296"/>
      <c r="S46" s="293"/>
      <c r="T46" s="296" t="s">
        <v>165</v>
      </c>
      <c r="U46" s="292"/>
      <c r="V46" s="292"/>
      <c r="W46" s="292"/>
      <c r="X46" s="294"/>
      <c r="Y46" s="292"/>
      <c r="Z46" s="295"/>
      <c r="AA46" s="296" t="s">
        <v>167</v>
      </c>
      <c r="AB46" s="293"/>
      <c r="AC46" s="292"/>
      <c r="AD46" s="292"/>
      <c r="AE46" s="294"/>
      <c r="AF46" s="292"/>
      <c r="AG46" s="293"/>
      <c r="AH46" s="295"/>
      <c r="AI46" s="296" t="s">
        <v>166</v>
      </c>
      <c r="AJ46" s="292"/>
      <c r="AK46" s="292"/>
      <c r="AL46" s="293"/>
      <c r="AM46" s="292"/>
      <c r="AN46" s="292"/>
      <c r="AO46" s="294"/>
      <c r="AP46" s="292"/>
      <c r="AQ46" s="297"/>
      <c r="AR46" s="297"/>
      <c r="AS46" s="297"/>
      <c r="AT46" s="297"/>
      <c r="AU46" s="296"/>
      <c r="AV46" s="298"/>
      <c r="AW46" s="277"/>
      <c r="AX46" s="277"/>
      <c r="AY46" s="277"/>
      <c r="AZ46" s="277"/>
      <c r="BA46" s="277"/>
      <c r="BB46" s="277"/>
      <c r="BC46" s="277"/>
      <c r="BD46" s="277"/>
      <c r="BE46" s="277"/>
      <c r="BF46" s="277"/>
      <c r="BG46" s="277"/>
      <c r="BH46" s="277"/>
      <c r="BI46" s="277"/>
      <c r="BJ46" s="277"/>
      <c r="BK46" s="277"/>
      <c r="BL46" s="277"/>
      <c r="BM46" s="277"/>
      <c r="BN46" s="277"/>
      <c r="BO46" s="277"/>
      <c r="BP46" s="277"/>
      <c r="BQ46" s="277"/>
      <c r="BR46" s="277"/>
    </row>
    <row r="47" spans="2:70" s="278" customFormat="1" ht="6" customHeight="1" x14ac:dyDescent="0.2">
      <c r="B47" s="440"/>
      <c r="C47" s="441"/>
      <c r="D47" s="441"/>
      <c r="E47" s="441"/>
      <c r="F47" s="441"/>
      <c r="G47" s="441"/>
      <c r="H47" s="442"/>
      <c r="I47" s="279"/>
      <c r="J47" s="280"/>
      <c r="K47" s="281"/>
      <c r="L47" s="281"/>
      <c r="M47" s="282"/>
      <c r="N47" s="283"/>
      <c r="O47" s="284"/>
      <c r="P47" s="285"/>
      <c r="Q47" s="286"/>
      <c r="R47" s="286"/>
      <c r="S47" s="283"/>
      <c r="T47" s="285"/>
      <c r="U47" s="285"/>
      <c r="V47" s="285"/>
      <c r="W47" s="285"/>
      <c r="X47" s="282"/>
      <c r="Y47" s="285"/>
      <c r="Z47" s="287"/>
      <c r="AA47" s="281"/>
      <c r="AB47" s="283"/>
      <c r="AC47" s="285"/>
      <c r="AD47" s="285"/>
      <c r="AE47" s="282"/>
      <c r="AF47" s="285"/>
      <c r="AG47" s="283"/>
      <c r="AH47" s="287"/>
      <c r="AI47" s="281"/>
      <c r="AJ47" s="285"/>
      <c r="AK47" s="285"/>
      <c r="AL47" s="283"/>
      <c r="AM47" s="285"/>
      <c r="AN47" s="285"/>
      <c r="AO47" s="282"/>
      <c r="AP47" s="285"/>
      <c r="AQ47" s="288"/>
      <c r="AR47" s="281"/>
      <c r="AS47" s="281"/>
      <c r="AT47" s="282"/>
      <c r="AU47" s="281"/>
      <c r="AV47" s="289"/>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row>
    <row r="48" spans="2:70" s="278" customFormat="1" ht="26.25" customHeight="1" x14ac:dyDescent="0.2">
      <c r="B48" s="440"/>
      <c r="C48" s="441"/>
      <c r="D48" s="441"/>
      <c r="E48" s="441"/>
      <c r="F48" s="441"/>
      <c r="G48" s="441"/>
      <c r="H48" s="442"/>
      <c r="I48" s="290"/>
      <c r="J48" s="291" t="s">
        <v>248</v>
      </c>
      <c r="K48" s="296"/>
      <c r="L48" s="296"/>
      <c r="M48" s="294"/>
      <c r="N48" s="293"/>
      <c r="O48" s="297"/>
      <c r="P48" s="292"/>
      <c r="Q48" s="299"/>
      <c r="R48" s="299" t="s">
        <v>117</v>
      </c>
      <c r="S48" s="293"/>
      <c r="T48" s="292"/>
      <c r="U48" s="292"/>
      <c r="V48" s="300"/>
      <c r="W48" s="300"/>
      <c r="X48" s="301"/>
      <c r="Y48" s="300"/>
      <c r="Z48" s="302"/>
      <c r="AA48" s="303"/>
      <c r="AB48" s="304"/>
      <c r="AC48" s="300"/>
      <c r="AD48" s="300"/>
      <c r="AE48" s="301"/>
      <c r="AF48" s="300"/>
      <c r="AG48" s="304"/>
      <c r="AH48" s="302"/>
      <c r="AI48" s="303"/>
      <c r="AJ48" s="300"/>
      <c r="AK48" s="300"/>
      <c r="AL48" s="304"/>
      <c r="AM48" s="305"/>
      <c r="AN48" s="292"/>
      <c r="AO48" s="294"/>
      <c r="AP48" s="292"/>
      <c r="AQ48" s="306"/>
      <c r="AR48" s="296"/>
      <c r="AS48" s="296"/>
      <c r="AT48" s="294"/>
      <c r="AU48" s="296"/>
      <c r="AV48" s="298"/>
      <c r="AW48" s="277"/>
      <c r="AX48" s="277"/>
      <c r="AY48" s="277"/>
      <c r="AZ48" s="277"/>
      <c r="BA48" s="277"/>
      <c r="BB48" s="277"/>
      <c r="BC48" s="277"/>
      <c r="BD48" s="277"/>
      <c r="BE48" s="277"/>
      <c r="BF48" s="277"/>
      <c r="BG48" s="277"/>
      <c r="BH48" s="277"/>
      <c r="BI48" s="277"/>
      <c r="BJ48" s="277"/>
      <c r="BK48" s="277"/>
      <c r="BL48" s="277"/>
      <c r="BM48" s="277"/>
      <c r="BN48" s="277"/>
      <c r="BO48" s="277"/>
      <c r="BP48" s="277"/>
      <c r="BQ48" s="277"/>
      <c r="BR48" s="277"/>
    </row>
    <row r="49" spans="2:70" s="278" customFormat="1" ht="6" customHeight="1" x14ac:dyDescent="0.2">
      <c r="B49" s="443"/>
      <c r="C49" s="444"/>
      <c r="D49" s="444"/>
      <c r="E49" s="444"/>
      <c r="F49" s="444"/>
      <c r="G49" s="444"/>
      <c r="H49" s="445"/>
      <c r="I49" s="290"/>
      <c r="J49" s="291"/>
      <c r="K49" s="296"/>
      <c r="L49" s="296"/>
      <c r="M49" s="294"/>
      <c r="N49" s="293"/>
      <c r="O49" s="297"/>
      <c r="P49" s="292"/>
      <c r="Q49" s="299"/>
      <c r="R49" s="299"/>
      <c r="S49" s="293"/>
      <c r="T49" s="292"/>
      <c r="U49" s="292"/>
      <c r="V49" s="292"/>
      <c r="W49" s="292"/>
      <c r="X49" s="294"/>
      <c r="Y49" s="292"/>
      <c r="Z49" s="295"/>
      <c r="AA49" s="296"/>
      <c r="AB49" s="293"/>
      <c r="AC49" s="292"/>
      <c r="AD49" s="292"/>
      <c r="AE49" s="294"/>
      <c r="AF49" s="292"/>
      <c r="AG49" s="293"/>
      <c r="AH49" s="295"/>
      <c r="AI49" s="296"/>
      <c r="AJ49" s="292"/>
      <c r="AK49" s="292"/>
      <c r="AL49" s="293"/>
      <c r="AM49" s="292"/>
      <c r="AN49" s="292"/>
      <c r="AO49" s="294"/>
      <c r="AP49" s="292"/>
      <c r="AQ49" s="306"/>
      <c r="AR49" s="296"/>
      <c r="AS49" s="296"/>
      <c r="AT49" s="294"/>
      <c r="AU49" s="296"/>
      <c r="AV49" s="298"/>
      <c r="AW49" s="277"/>
      <c r="AX49" s="277"/>
      <c r="AY49" s="277"/>
      <c r="AZ49" s="277"/>
      <c r="BA49" s="277"/>
      <c r="BB49" s="277"/>
      <c r="BC49" s="277"/>
      <c r="BD49" s="277"/>
      <c r="BE49" s="277"/>
      <c r="BF49" s="277"/>
      <c r="BG49" s="277"/>
      <c r="BH49" s="277"/>
      <c r="BI49" s="277"/>
      <c r="BJ49" s="277"/>
      <c r="BK49" s="277"/>
      <c r="BL49" s="277"/>
      <c r="BM49" s="277"/>
      <c r="BN49" s="277"/>
      <c r="BO49" s="277"/>
      <c r="BP49" s="277"/>
      <c r="BQ49" s="277"/>
      <c r="BR49" s="277"/>
    </row>
    <row r="50" spans="2:70" s="122" customFormat="1" ht="26.25" customHeight="1" x14ac:dyDescent="0.2">
      <c r="B50" s="421" t="s">
        <v>72</v>
      </c>
      <c r="C50" s="422"/>
      <c r="D50" s="422"/>
      <c r="E50" s="422"/>
      <c r="F50" s="422"/>
      <c r="G50" s="422"/>
      <c r="H50" s="446"/>
      <c r="I50" s="447"/>
      <c r="J50" s="448"/>
      <c r="K50" s="448"/>
      <c r="L50" s="448"/>
      <c r="M50" s="448"/>
      <c r="N50" s="448"/>
      <c r="O50" s="448"/>
      <c r="P50" s="448"/>
      <c r="Q50" s="448"/>
      <c r="R50" s="448"/>
      <c r="S50" s="448"/>
      <c r="T50" s="448"/>
      <c r="U50" s="448"/>
      <c r="V50" s="448"/>
      <c r="W50" s="448"/>
      <c r="X50" s="448"/>
      <c r="Y50" s="448"/>
      <c r="Z50" s="448"/>
      <c r="AA50" s="448"/>
      <c r="AB50" s="448"/>
      <c r="AC50" s="448"/>
      <c r="AD50" s="448"/>
      <c r="AE50" s="448"/>
      <c r="AF50" s="448"/>
      <c r="AG50" s="448"/>
      <c r="AH50" s="448"/>
      <c r="AI50" s="448"/>
      <c r="AJ50" s="448"/>
      <c r="AK50" s="448"/>
      <c r="AL50" s="448"/>
      <c r="AM50" s="448"/>
      <c r="AN50" s="448"/>
      <c r="AO50" s="448"/>
      <c r="AP50" s="448"/>
      <c r="AQ50" s="448"/>
      <c r="AR50" s="448"/>
      <c r="AS50" s="448"/>
      <c r="AT50" s="448"/>
      <c r="AU50" s="448"/>
      <c r="AV50" s="449"/>
      <c r="AW50" s="307"/>
      <c r="AX50" s="307"/>
      <c r="AY50" s="307"/>
      <c r="AZ50" s="307"/>
      <c r="BA50" s="307"/>
      <c r="BB50" s="307"/>
      <c r="BC50" s="307"/>
      <c r="BD50" s="307"/>
      <c r="BE50" s="307"/>
      <c r="BF50" s="307"/>
      <c r="BG50" s="307"/>
      <c r="BH50" s="307"/>
      <c r="BI50" s="307"/>
      <c r="BJ50" s="307"/>
      <c r="BK50" s="307"/>
      <c r="BL50" s="307"/>
      <c r="BM50" s="307"/>
      <c r="BN50" s="307"/>
      <c r="BO50" s="307"/>
      <c r="BP50" s="307"/>
      <c r="BQ50" s="307"/>
      <c r="BR50" s="307"/>
    </row>
    <row r="51" spans="2:70" s="122" customFormat="1" ht="26.25" customHeight="1" x14ac:dyDescent="0.2">
      <c r="B51" s="421" t="s">
        <v>73</v>
      </c>
      <c r="C51" s="422"/>
      <c r="D51" s="422"/>
      <c r="E51" s="422"/>
      <c r="F51" s="422"/>
      <c r="G51" s="422"/>
      <c r="H51" s="422"/>
      <c r="I51" s="423"/>
      <c r="J51" s="424"/>
      <c r="K51" s="424"/>
      <c r="L51" s="424"/>
      <c r="M51" s="424"/>
      <c r="N51" s="424"/>
      <c r="O51" s="424"/>
      <c r="P51" s="424"/>
      <c r="Q51" s="424"/>
      <c r="R51" s="424"/>
      <c r="S51" s="424"/>
      <c r="T51" s="424"/>
      <c r="U51" s="424"/>
      <c r="V51" s="424"/>
      <c r="W51" s="424"/>
      <c r="X51" s="424"/>
      <c r="Y51" s="424"/>
      <c r="Z51" s="424"/>
      <c r="AA51" s="424"/>
      <c r="AB51" s="424"/>
      <c r="AC51" s="424"/>
      <c r="AD51" s="424"/>
      <c r="AE51" s="424"/>
      <c r="AF51" s="424"/>
      <c r="AG51" s="424"/>
      <c r="AH51" s="424"/>
      <c r="AI51" s="424"/>
      <c r="AJ51" s="424"/>
      <c r="AK51" s="424"/>
      <c r="AL51" s="424"/>
      <c r="AM51" s="424"/>
      <c r="AN51" s="424"/>
      <c r="AO51" s="424"/>
      <c r="AP51" s="424"/>
      <c r="AQ51" s="424"/>
      <c r="AR51" s="424"/>
      <c r="AS51" s="424"/>
      <c r="AT51" s="424"/>
      <c r="AU51" s="424"/>
      <c r="AV51" s="425"/>
      <c r="AW51" s="307"/>
      <c r="AX51" s="307"/>
      <c r="AY51" s="307"/>
      <c r="AZ51" s="307"/>
      <c r="BA51" s="308"/>
      <c r="BB51" s="308"/>
      <c r="BC51" s="308"/>
      <c r="BD51" s="308"/>
      <c r="BE51" s="308"/>
      <c r="BF51" s="308"/>
      <c r="BG51" s="308"/>
      <c r="BH51" s="308"/>
      <c r="BI51" s="308"/>
      <c r="BJ51" s="308"/>
      <c r="BK51" s="308"/>
      <c r="BL51" s="308"/>
      <c r="BM51" s="308"/>
      <c r="BN51" s="308"/>
      <c r="BO51" s="308"/>
      <c r="BP51" s="308"/>
      <c r="BQ51" s="308"/>
      <c r="BR51" s="308"/>
    </row>
    <row r="52" spans="2:70" s="122" customFormat="1" ht="26.25" customHeight="1" x14ac:dyDescent="0.2">
      <c r="B52" s="421" t="s">
        <v>68</v>
      </c>
      <c r="C52" s="422"/>
      <c r="D52" s="422"/>
      <c r="E52" s="422"/>
      <c r="F52" s="422"/>
      <c r="G52" s="422"/>
      <c r="H52" s="446"/>
      <c r="I52" s="452"/>
      <c r="J52" s="453"/>
      <c r="K52" s="453"/>
      <c r="L52" s="453"/>
      <c r="M52" s="453"/>
      <c r="N52" s="453"/>
      <c r="O52" s="453"/>
      <c r="P52" s="453"/>
      <c r="Q52" s="453"/>
      <c r="R52" s="453"/>
      <c r="S52" s="453"/>
      <c r="T52" s="453"/>
      <c r="U52" s="453"/>
      <c r="V52" s="453"/>
      <c r="W52" s="453"/>
      <c r="X52" s="453"/>
      <c r="Y52" s="453"/>
      <c r="Z52" s="453"/>
      <c r="AA52" s="453"/>
      <c r="AB52" s="453"/>
      <c r="AC52" s="453"/>
      <c r="AD52" s="453"/>
      <c r="AE52" s="453"/>
      <c r="AF52" s="453"/>
      <c r="AG52" s="453"/>
      <c r="AH52" s="453"/>
      <c r="AI52" s="453"/>
      <c r="AJ52" s="453"/>
      <c r="AK52" s="453"/>
      <c r="AL52" s="453"/>
      <c r="AM52" s="453"/>
      <c r="AN52" s="453"/>
      <c r="AO52" s="453"/>
      <c r="AP52" s="453"/>
      <c r="AQ52" s="453"/>
      <c r="AR52" s="453"/>
      <c r="AS52" s="453"/>
      <c r="AT52" s="453"/>
      <c r="AU52" s="453"/>
      <c r="AV52" s="454"/>
      <c r="AW52" s="307"/>
      <c r="AX52" s="307"/>
      <c r="AY52" s="307"/>
      <c r="AZ52" s="307"/>
      <c r="BA52" s="308"/>
      <c r="BB52" s="308"/>
      <c r="BC52" s="308"/>
      <c r="BD52" s="308"/>
      <c r="BE52" s="308"/>
      <c r="BF52" s="308"/>
      <c r="BG52" s="308"/>
      <c r="BH52" s="308"/>
      <c r="BI52" s="308"/>
      <c r="BJ52" s="308"/>
      <c r="BK52" s="308"/>
      <c r="BL52" s="308"/>
      <c r="BM52" s="308"/>
      <c r="BN52" s="308"/>
      <c r="BO52" s="308"/>
      <c r="BP52" s="308"/>
      <c r="BQ52" s="308"/>
      <c r="BR52" s="308"/>
    </row>
    <row r="53" spans="2:70" s="122" customFormat="1" ht="26.25" customHeight="1" x14ac:dyDescent="0.2">
      <c r="B53" s="309" t="s">
        <v>174</v>
      </c>
      <c r="C53" s="310"/>
      <c r="D53" s="310"/>
      <c r="E53" s="310"/>
      <c r="F53" s="310"/>
      <c r="G53" s="310"/>
      <c r="H53" s="311"/>
      <c r="I53" s="426"/>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8"/>
      <c r="AW53" s="307"/>
      <c r="AX53" s="307"/>
      <c r="AY53" s="307"/>
      <c r="AZ53" s="307"/>
      <c r="BA53" s="308"/>
      <c r="BB53" s="308"/>
      <c r="BC53" s="308"/>
      <c r="BD53" s="308"/>
      <c r="BE53" s="308"/>
      <c r="BF53" s="308"/>
      <c r="BG53" s="308"/>
      <c r="BH53" s="308"/>
      <c r="BI53" s="308"/>
      <c r="BJ53" s="308"/>
      <c r="BK53" s="308"/>
      <c r="BL53" s="308"/>
      <c r="BM53" s="308"/>
      <c r="BN53" s="308"/>
      <c r="BO53" s="308"/>
      <c r="BP53" s="308"/>
      <c r="BQ53" s="308"/>
      <c r="BR53" s="308"/>
    </row>
    <row r="54" spans="2:70" s="122" customFormat="1" ht="26.25" customHeight="1" x14ac:dyDescent="0.2">
      <c r="B54" s="312" t="s">
        <v>175</v>
      </c>
      <c r="C54" s="313"/>
      <c r="D54" s="313"/>
      <c r="E54" s="313"/>
      <c r="F54" s="313"/>
      <c r="G54" s="313"/>
      <c r="H54" s="314"/>
      <c r="I54" s="450"/>
      <c r="J54" s="451"/>
      <c r="K54" s="451"/>
      <c r="L54" s="451"/>
      <c r="M54" s="451"/>
      <c r="N54" s="451"/>
      <c r="O54" s="451"/>
      <c r="P54" s="451"/>
      <c r="Q54" s="451"/>
      <c r="R54" s="451"/>
      <c r="S54" s="451"/>
      <c r="T54" s="451"/>
      <c r="U54" s="451"/>
      <c r="V54" s="451"/>
      <c r="W54" s="451"/>
      <c r="X54" s="451"/>
      <c r="Y54" s="451"/>
      <c r="Z54" s="451"/>
      <c r="AA54" s="451"/>
      <c r="AB54" s="451"/>
      <c r="AC54" s="451"/>
      <c r="AD54" s="451"/>
      <c r="AE54" s="451"/>
      <c r="AF54" s="451"/>
      <c r="AG54" s="451"/>
      <c r="AH54" s="451"/>
      <c r="AI54" s="451"/>
      <c r="AJ54" s="451"/>
      <c r="AK54" s="451"/>
      <c r="AL54" s="451"/>
      <c r="AM54" s="451"/>
      <c r="AN54" s="451"/>
      <c r="AO54" s="451"/>
      <c r="AP54" s="451"/>
      <c r="AQ54" s="451"/>
      <c r="AR54" s="451"/>
      <c r="AS54" s="451"/>
      <c r="AT54" s="451"/>
      <c r="AU54" s="451"/>
      <c r="AV54" s="315"/>
      <c r="AW54" s="307"/>
      <c r="AX54" s="307"/>
      <c r="AY54" s="307"/>
      <c r="AZ54" s="307"/>
      <c r="BA54" s="307"/>
      <c r="BB54" s="307"/>
      <c r="BC54" s="307"/>
      <c r="BD54" s="307"/>
      <c r="BE54" s="307"/>
      <c r="BF54" s="307"/>
      <c r="BG54" s="307"/>
      <c r="BH54" s="307"/>
      <c r="BI54" s="307"/>
      <c r="BJ54" s="307"/>
      <c r="BK54" s="307"/>
      <c r="BL54" s="307"/>
      <c r="BM54" s="307"/>
      <c r="BN54" s="307"/>
      <c r="BO54" s="307"/>
      <c r="BP54" s="307"/>
      <c r="BQ54" s="307"/>
      <c r="BR54" s="307"/>
    </row>
    <row r="55" spans="2:70" ht="26.1" customHeight="1" x14ac:dyDescent="0.2">
      <c r="B55" s="316" t="s">
        <v>193</v>
      </c>
      <c r="C55" s="317"/>
      <c r="D55" s="317"/>
      <c r="E55" s="317"/>
      <c r="F55" s="317"/>
      <c r="G55" s="317"/>
      <c r="H55" s="318"/>
      <c r="I55" s="429"/>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321"/>
    </row>
    <row r="56" spans="2:70" ht="24.6" customHeight="1" x14ac:dyDescent="0.2">
      <c r="B56" s="322"/>
      <c r="C56" s="322"/>
      <c r="D56" s="322"/>
      <c r="E56" s="322"/>
      <c r="F56" s="322"/>
      <c r="G56" s="322"/>
      <c r="H56" s="322"/>
      <c r="I56" s="323"/>
      <c r="J56" s="323"/>
      <c r="K56" s="323"/>
      <c r="L56" s="323"/>
      <c r="M56" s="323"/>
      <c r="N56" s="323"/>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3"/>
      <c r="AS56" s="323"/>
      <c r="AT56" s="323"/>
      <c r="AU56" s="323"/>
    </row>
    <row r="57" spans="2:70" ht="27.6" customHeight="1" x14ac:dyDescent="0.2">
      <c r="B57" s="431" t="s">
        <v>116</v>
      </c>
      <c r="C57" s="432"/>
      <c r="D57" s="432"/>
      <c r="E57" s="432"/>
      <c r="F57" s="432"/>
      <c r="G57" s="432"/>
      <c r="H57" s="433"/>
      <c r="I57" s="434"/>
      <c r="J57" s="435"/>
      <c r="K57" s="435"/>
      <c r="L57" s="435"/>
      <c r="M57" s="435"/>
      <c r="N57" s="435"/>
      <c r="O57" s="435"/>
      <c r="P57" s="435"/>
      <c r="Q57" s="435"/>
      <c r="R57" s="435"/>
      <c r="S57" s="435"/>
      <c r="T57" s="435"/>
      <c r="U57" s="435"/>
      <c r="V57" s="435"/>
      <c r="W57" s="435"/>
      <c r="X57" s="435"/>
      <c r="Y57" s="435"/>
      <c r="Z57" s="435"/>
      <c r="AA57" s="435"/>
      <c r="AB57" s="435"/>
      <c r="AC57" s="435"/>
      <c r="AD57" s="435"/>
      <c r="AE57" s="435"/>
      <c r="AF57" s="435"/>
      <c r="AG57" s="435"/>
      <c r="AH57" s="435"/>
      <c r="AI57" s="435"/>
      <c r="AJ57" s="435"/>
      <c r="AK57" s="435"/>
      <c r="AL57" s="435"/>
      <c r="AM57" s="435"/>
      <c r="AN57" s="435"/>
      <c r="AO57" s="435"/>
      <c r="AP57" s="435"/>
      <c r="AQ57" s="435"/>
      <c r="AR57" s="435"/>
      <c r="AS57" s="435"/>
      <c r="AT57" s="435"/>
      <c r="AU57" s="435"/>
      <c r="AV57" s="436"/>
    </row>
    <row r="58" spans="2:70" ht="6.75" customHeight="1" x14ac:dyDescent="0.2">
      <c r="B58" s="437" t="s">
        <v>71</v>
      </c>
      <c r="C58" s="438"/>
      <c r="D58" s="438"/>
      <c r="E58" s="438"/>
      <c r="F58" s="438"/>
      <c r="G58" s="438"/>
      <c r="H58" s="439"/>
      <c r="I58" s="279"/>
      <c r="J58" s="280"/>
      <c r="K58" s="281"/>
      <c r="L58" s="281"/>
      <c r="M58" s="282"/>
      <c r="N58" s="283"/>
      <c r="O58" s="284"/>
      <c r="P58" s="285"/>
      <c r="Q58" s="286"/>
      <c r="R58" s="286"/>
      <c r="S58" s="283"/>
      <c r="T58" s="285"/>
      <c r="U58" s="285"/>
      <c r="V58" s="285"/>
      <c r="W58" s="285"/>
      <c r="X58" s="282"/>
      <c r="Y58" s="285"/>
      <c r="Z58" s="287"/>
      <c r="AA58" s="281"/>
      <c r="AB58" s="283"/>
      <c r="AC58" s="285"/>
      <c r="AD58" s="285"/>
      <c r="AE58" s="282"/>
      <c r="AF58" s="285"/>
      <c r="AG58" s="283"/>
      <c r="AH58" s="287"/>
      <c r="AI58" s="281"/>
      <c r="AJ58" s="285"/>
      <c r="AK58" s="285"/>
      <c r="AL58" s="283"/>
      <c r="AM58" s="285"/>
      <c r="AN58" s="285"/>
      <c r="AO58" s="282"/>
      <c r="AP58" s="285"/>
      <c r="AQ58" s="288"/>
      <c r="AR58" s="281"/>
      <c r="AS58" s="281"/>
      <c r="AT58" s="282"/>
      <c r="AU58" s="281"/>
      <c r="AV58" s="289"/>
    </row>
    <row r="59" spans="2:70" ht="27" customHeight="1" x14ac:dyDescent="0.2">
      <c r="B59" s="440"/>
      <c r="C59" s="441"/>
      <c r="D59" s="441"/>
      <c r="E59" s="441"/>
      <c r="F59" s="441"/>
      <c r="G59" s="441"/>
      <c r="H59" s="442"/>
      <c r="I59" s="290"/>
      <c r="J59" s="291" t="s">
        <v>247</v>
      </c>
      <c r="K59" s="292"/>
      <c r="L59" s="292"/>
      <c r="M59" s="292"/>
      <c r="N59" s="293"/>
      <c r="O59" s="294"/>
      <c r="P59" s="292"/>
      <c r="Q59" s="295"/>
      <c r="R59" s="296"/>
      <c r="S59" s="293"/>
      <c r="T59" s="296" t="s">
        <v>165</v>
      </c>
      <c r="U59" s="292"/>
      <c r="V59" s="292"/>
      <c r="W59" s="292"/>
      <c r="X59" s="294"/>
      <c r="Y59" s="292"/>
      <c r="Z59" s="295"/>
      <c r="AA59" s="296" t="s">
        <v>167</v>
      </c>
      <c r="AB59" s="293"/>
      <c r="AC59" s="292"/>
      <c r="AD59" s="292"/>
      <c r="AE59" s="294"/>
      <c r="AF59" s="292"/>
      <c r="AG59" s="293"/>
      <c r="AH59" s="295"/>
      <c r="AI59" s="296" t="s">
        <v>166</v>
      </c>
      <c r="AJ59" s="292"/>
      <c r="AK59" s="292"/>
      <c r="AL59" s="293"/>
      <c r="AM59" s="292"/>
      <c r="AN59" s="292"/>
      <c r="AO59" s="294"/>
      <c r="AP59" s="292"/>
      <c r="AQ59" s="297"/>
      <c r="AR59" s="297"/>
      <c r="AS59" s="297"/>
      <c r="AT59" s="297"/>
      <c r="AU59" s="296"/>
      <c r="AV59" s="298"/>
    </row>
    <row r="60" spans="2:70" ht="15.75" x14ac:dyDescent="0.2">
      <c r="B60" s="440"/>
      <c r="C60" s="441"/>
      <c r="D60" s="441"/>
      <c r="E60" s="441"/>
      <c r="F60" s="441"/>
      <c r="G60" s="441"/>
      <c r="H60" s="442"/>
      <c r="I60" s="279"/>
      <c r="J60" s="280"/>
      <c r="K60" s="281"/>
      <c r="L60" s="281"/>
      <c r="M60" s="282"/>
      <c r="N60" s="283"/>
      <c r="O60" s="284"/>
      <c r="P60" s="285"/>
      <c r="Q60" s="286"/>
      <c r="R60" s="286"/>
      <c r="S60" s="283"/>
      <c r="T60" s="285"/>
      <c r="U60" s="285"/>
      <c r="V60" s="285"/>
      <c r="W60" s="285"/>
      <c r="X60" s="282"/>
      <c r="Y60" s="285"/>
      <c r="Z60" s="287"/>
      <c r="AA60" s="281"/>
      <c r="AB60" s="283"/>
      <c r="AC60" s="285"/>
      <c r="AD60" s="285"/>
      <c r="AE60" s="282"/>
      <c r="AF60" s="285"/>
      <c r="AG60" s="283"/>
      <c r="AH60" s="287"/>
      <c r="AI60" s="281"/>
      <c r="AJ60" s="285"/>
      <c r="AK60" s="285"/>
      <c r="AL60" s="283"/>
      <c r="AM60" s="285"/>
      <c r="AN60" s="285"/>
      <c r="AO60" s="282"/>
      <c r="AP60" s="285"/>
      <c r="AQ60" s="288"/>
      <c r="AR60" s="281"/>
      <c r="AS60" s="281"/>
      <c r="AT60" s="282"/>
      <c r="AU60" s="281"/>
      <c r="AV60" s="289"/>
    </row>
    <row r="61" spans="2:70" ht="15.75" x14ac:dyDescent="0.2">
      <c r="B61" s="440"/>
      <c r="C61" s="441"/>
      <c r="D61" s="441"/>
      <c r="E61" s="441"/>
      <c r="F61" s="441"/>
      <c r="G61" s="441"/>
      <c r="H61" s="442"/>
      <c r="I61" s="290"/>
      <c r="J61" s="291" t="s">
        <v>248</v>
      </c>
      <c r="K61" s="296"/>
      <c r="L61" s="296"/>
      <c r="M61" s="294"/>
      <c r="N61" s="293"/>
      <c r="O61" s="297"/>
      <c r="P61" s="292"/>
      <c r="Q61" s="299"/>
      <c r="R61" s="299" t="s">
        <v>117</v>
      </c>
      <c r="S61" s="293"/>
      <c r="T61" s="292"/>
      <c r="U61" s="292"/>
      <c r="V61" s="300"/>
      <c r="W61" s="300"/>
      <c r="X61" s="301"/>
      <c r="Y61" s="300"/>
      <c r="Z61" s="302"/>
      <c r="AA61" s="303"/>
      <c r="AB61" s="304"/>
      <c r="AC61" s="300"/>
      <c r="AD61" s="300"/>
      <c r="AE61" s="301"/>
      <c r="AF61" s="300"/>
      <c r="AG61" s="304"/>
      <c r="AH61" s="302"/>
      <c r="AI61" s="303"/>
      <c r="AJ61" s="300"/>
      <c r="AK61" s="300"/>
      <c r="AL61" s="304"/>
      <c r="AM61" s="305"/>
      <c r="AN61" s="292"/>
      <c r="AO61" s="294"/>
      <c r="AP61" s="292"/>
      <c r="AQ61" s="306"/>
      <c r="AR61" s="296"/>
      <c r="AS61" s="296"/>
      <c r="AT61" s="294"/>
      <c r="AU61" s="296"/>
      <c r="AV61" s="298"/>
    </row>
    <row r="62" spans="2:70" ht="15.75" x14ac:dyDescent="0.2">
      <c r="B62" s="443"/>
      <c r="C62" s="444"/>
      <c r="D62" s="444"/>
      <c r="E62" s="444"/>
      <c r="F62" s="444"/>
      <c r="G62" s="444"/>
      <c r="H62" s="445"/>
      <c r="I62" s="290"/>
      <c r="J62" s="291"/>
      <c r="K62" s="296"/>
      <c r="L62" s="296"/>
      <c r="M62" s="294"/>
      <c r="N62" s="293"/>
      <c r="O62" s="297"/>
      <c r="P62" s="292"/>
      <c r="Q62" s="299"/>
      <c r="R62" s="299"/>
      <c r="S62" s="293"/>
      <c r="T62" s="292"/>
      <c r="U62" s="292"/>
      <c r="V62" s="292"/>
      <c r="W62" s="292"/>
      <c r="X62" s="294"/>
      <c r="Y62" s="292"/>
      <c r="Z62" s="295"/>
      <c r="AA62" s="296"/>
      <c r="AB62" s="293"/>
      <c r="AC62" s="292"/>
      <c r="AD62" s="292"/>
      <c r="AE62" s="294"/>
      <c r="AF62" s="292"/>
      <c r="AG62" s="293"/>
      <c r="AH62" s="295"/>
      <c r="AI62" s="296"/>
      <c r="AJ62" s="292"/>
      <c r="AK62" s="292"/>
      <c r="AL62" s="293"/>
      <c r="AM62" s="292"/>
      <c r="AN62" s="292"/>
      <c r="AO62" s="294"/>
      <c r="AP62" s="292"/>
      <c r="AQ62" s="306"/>
      <c r="AR62" s="296"/>
      <c r="AS62" s="296"/>
      <c r="AT62" s="294"/>
      <c r="AU62" s="296"/>
      <c r="AV62" s="298"/>
    </row>
    <row r="63" spans="2:70" ht="23.1" customHeight="1" x14ac:dyDescent="0.2">
      <c r="B63" s="421" t="s">
        <v>72</v>
      </c>
      <c r="C63" s="422"/>
      <c r="D63" s="422"/>
      <c r="E63" s="422"/>
      <c r="F63" s="422"/>
      <c r="G63" s="422"/>
      <c r="H63" s="446"/>
      <c r="I63" s="447"/>
      <c r="J63" s="448"/>
      <c r="K63" s="448"/>
      <c r="L63" s="448"/>
      <c r="M63" s="448"/>
      <c r="N63" s="448"/>
      <c r="O63" s="448"/>
      <c r="P63" s="448"/>
      <c r="Q63" s="448"/>
      <c r="R63" s="448"/>
      <c r="S63" s="448"/>
      <c r="T63" s="448"/>
      <c r="U63" s="448"/>
      <c r="V63" s="448"/>
      <c r="W63" s="448"/>
      <c r="X63" s="448"/>
      <c r="Y63" s="448"/>
      <c r="Z63" s="448"/>
      <c r="AA63" s="448"/>
      <c r="AB63" s="448"/>
      <c r="AC63" s="448"/>
      <c r="AD63" s="448"/>
      <c r="AE63" s="448"/>
      <c r="AF63" s="448"/>
      <c r="AG63" s="448"/>
      <c r="AH63" s="448"/>
      <c r="AI63" s="448"/>
      <c r="AJ63" s="448"/>
      <c r="AK63" s="448"/>
      <c r="AL63" s="448"/>
      <c r="AM63" s="448"/>
      <c r="AN63" s="448"/>
      <c r="AO63" s="448"/>
      <c r="AP63" s="448"/>
      <c r="AQ63" s="448"/>
      <c r="AR63" s="448"/>
      <c r="AS63" s="448"/>
      <c r="AT63" s="448"/>
      <c r="AU63" s="448"/>
      <c r="AV63" s="449"/>
    </row>
    <row r="64" spans="2:70" ht="25.5" customHeight="1" x14ac:dyDescent="0.2">
      <c r="B64" s="421" t="s">
        <v>73</v>
      </c>
      <c r="C64" s="422"/>
      <c r="D64" s="422"/>
      <c r="E64" s="422"/>
      <c r="F64" s="422"/>
      <c r="G64" s="422"/>
      <c r="H64" s="422"/>
      <c r="I64" s="423"/>
      <c r="J64" s="424"/>
      <c r="K64" s="424"/>
      <c r="L64" s="424"/>
      <c r="M64" s="424"/>
      <c r="N64" s="424"/>
      <c r="O64" s="424"/>
      <c r="P64" s="424"/>
      <c r="Q64" s="424"/>
      <c r="R64" s="424"/>
      <c r="S64" s="424"/>
      <c r="T64" s="424"/>
      <c r="U64" s="424"/>
      <c r="V64" s="424"/>
      <c r="W64" s="424"/>
      <c r="X64" s="424"/>
      <c r="Y64" s="424"/>
      <c r="Z64" s="424"/>
      <c r="AA64" s="424"/>
      <c r="AB64" s="424"/>
      <c r="AC64" s="424"/>
      <c r="AD64" s="424"/>
      <c r="AE64" s="424"/>
      <c r="AF64" s="424"/>
      <c r="AG64" s="424"/>
      <c r="AH64" s="424"/>
      <c r="AI64" s="424"/>
      <c r="AJ64" s="424"/>
      <c r="AK64" s="424"/>
      <c r="AL64" s="424"/>
      <c r="AM64" s="424"/>
      <c r="AN64" s="424"/>
      <c r="AO64" s="424"/>
      <c r="AP64" s="424"/>
      <c r="AQ64" s="424"/>
      <c r="AR64" s="424"/>
      <c r="AS64" s="424"/>
      <c r="AT64" s="424"/>
      <c r="AU64" s="424"/>
      <c r="AV64" s="425"/>
    </row>
    <row r="65" spans="2:70" s="122" customFormat="1" ht="26.25" customHeight="1" x14ac:dyDescent="0.2">
      <c r="B65" s="309" t="s">
        <v>68</v>
      </c>
      <c r="C65" s="310"/>
      <c r="D65" s="310"/>
      <c r="E65" s="310"/>
      <c r="F65" s="310"/>
      <c r="G65" s="310"/>
      <c r="H65" s="311"/>
      <c r="I65" s="426"/>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8"/>
      <c r="AW65" s="307"/>
      <c r="AX65" s="307"/>
      <c r="AY65" s="307"/>
      <c r="AZ65" s="307"/>
      <c r="BA65" s="308"/>
      <c r="BB65" s="308"/>
      <c r="BC65" s="308"/>
      <c r="BD65" s="308"/>
      <c r="BE65" s="308"/>
      <c r="BF65" s="308"/>
      <c r="BG65" s="308"/>
      <c r="BH65" s="308"/>
      <c r="BI65" s="308"/>
      <c r="BJ65" s="308"/>
      <c r="BK65" s="308"/>
      <c r="BL65" s="308"/>
      <c r="BM65" s="308"/>
      <c r="BN65" s="308"/>
      <c r="BO65" s="308"/>
      <c r="BP65" s="308"/>
      <c r="BQ65" s="308"/>
      <c r="BR65" s="308"/>
    </row>
    <row r="66" spans="2:70" s="122" customFormat="1" ht="26.25" customHeight="1" x14ac:dyDescent="0.2">
      <c r="B66" s="309" t="s">
        <v>174</v>
      </c>
      <c r="C66" s="310"/>
      <c r="D66" s="310"/>
      <c r="E66" s="310"/>
      <c r="F66" s="310"/>
      <c r="G66" s="310"/>
      <c r="H66" s="311"/>
      <c r="I66" s="426"/>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8"/>
      <c r="AW66" s="307"/>
      <c r="AX66" s="307"/>
      <c r="AY66" s="307"/>
      <c r="AZ66" s="307"/>
      <c r="BA66" s="308"/>
      <c r="BB66" s="308"/>
      <c r="BC66" s="308"/>
      <c r="BD66" s="308"/>
      <c r="BE66" s="308"/>
      <c r="BF66" s="308"/>
      <c r="BG66" s="308"/>
      <c r="BH66" s="308"/>
      <c r="BI66" s="308"/>
      <c r="BJ66" s="308"/>
      <c r="BK66" s="308"/>
      <c r="BL66" s="308"/>
      <c r="BM66" s="308"/>
      <c r="BN66" s="308"/>
      <c r="BO66" s="308"/>
      <c r="BP66" s="308"/>
      <c r="BQ66" s="308"/>
      <c r="BR66" s="308"/>
    </row>
    <row r="67" spans="2:70" s="122" customFormat="1" ht="26.25" customHeight="1" x14ac:dyDescent="0.2">
      <c r="B67" s="309" t="s">
        <v>175</v>
      </c>
      <c r="C67" s="310"/>
      <c r="D67" s="310"/>
      <c r="E67" s="310"/>
      <c r="F67" s="310"/>
      <c r="G67" s="310"/>
      <c r="H67" s="311"/>
      <c r="I67" s="426"/>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8"/>
      <c r="AW67" s="307"/>
      <c r="AX67" s="307"/>
      <c r="AY67" s="307"/>
      <c r="AZ67" s="307"/>
      <c r="BA67" s="308"/>
      <c r="BB67" s="308"/>
      <c r="BC67" s="308"/>
      <c r="BD67" s="308"/>
      <c r="BE67" s="308"/>
      <c r="BF67" s="308"/>
      <c r="BG67" s="308"/>
      <c r="BH67" s="308"/>
      <c r="BI67" s="308"/>
      <c r="BJ67" s="308"/>
      <c r="BK67" s="308"/>
      <c r="BL67" s="308"/>
      <c r="BM67" s="308"/>
      <c r="BN67" s="308"/>
      <c r="BO67" s="308"/>
      <c r="BP67" s="308"/>
      <c r="BQ67" s="308"/>
      <c r="BR67" s="308"/>
    </row>
    <row r="68" spans="2:70" s="122" customFormat="1" ht="26.25" customHeight="1" x14ac:dyDescent="0.2">
      <c r="B68" s="316" t="s">
        <v>193</v>
      </c>
      <c r="C68" s="310"/>
      <c r="D68" s="310"/>
      <c r="E68" s="310"/>
      <c r="F68" s="310"/>
      <c r="G68" s="310"/>
      <c r="H68" s="311"/>
      <c r="I68" s="426"/>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8"/>
      <c r="AW68" s="307"/>
      <c r="AX68" s="307"/>
      <c r="AY68" s="307"/>
      <c r="AZ68" s="307"/>
      <c r="BA68" s="308"/>
      <c r="BB68" s="308"/>
      <c r="BC68" s="308"/>
      <c r="BD68" s="308"/>
      <c r="BE68" s="308"/>
      <c r="BF68" s="308"/>
      <c r="BG68" s="308"/>
      <c r="BH68" s="308"/>
      <c r="BI68" s="308"/>
      <c r="BJ68" s="308"/>
      <c r="BK68" s="308"/>
      <c r="BL68" s="308"/>
      <c r="BM68" s="308"/>
      <c r="BN68" s="308"/>
      <c r="BO68" s="308"/>
      <c r="BP68" s="308"/>
      <c r="BQ68" s="308"/>
      <c r="BR68" s="308"/>
    </row>
    <row r="69" spans="2:70" ht="15.75" x14ac:dyDescent="0.2">
      <c r="B69" s="322"/>
      <c r="C69" s="322"/>
      <c r="D69" s="322"/>
      <c r="E69" s="322"/>
      <c r="F69" s="322"/>
      <c r="G69" s="322"/>
      <c r="H69" s="322"/>
      <c r="I69" s="323"/>
      <c r="J69" s="323"/>
      <c r="K69" s="323"/>
      <c r="L69" s="323"/>
      <c r="M69" s="323"/>
      <c r="N69" s="323"/>
      <c r="O69" s="323"/>
      <c r="P69" s="323"/>
      <c r="Q69" s="323"/>
      <c r="R69" s="323"/>
      <c r="S69" s="323"/>
      <c r="T69" s="323"/>
      <c r="U69" s="323"/>
      <c r="V69" s="323"/>
      <c r="W69" s="323"/>
      <c r="X69" s="323"/>
      <c r="Y69" s="323"/>
      <c r="Z69" s="323"/>
      <c r="AA69" s="323"/>
      <c r="AB69" s="323"/>
      <c r="AC69" s="323"/>
      <c r="AD69" s="323"/>
      <c r="AE69" s="323"/>
      <c r="AF69" s="323"/>
      <c r="AG69" s="323"/>
      <c r="AH69" s="323"/>
      <c r="AI69" s="323"/>
      <c r="AJ69" s="323"/>
      <c r="AK69" s="323"/>
      <c r="AL69" s="323"/>
      <c r="AM69" s="323"/>
      <c r="AN69" s="323"/>
      <c r="AO69" s="323"/>
      <c r="AP69" s="323"/>
      <c r="AQ69" s="323"/>
      <c r="AR69" s="323"/>
      <c r="AS69" s="323"/>
      <c r="AT69" s="323"/>
      <c r="AU69" s="323"/>
    </row>
    <row r="70" spans="2:70" x14ac:dyDescent="0.2">
      <c r="B70" s="420"/>
      <c r="C70" s="420"/>
      <c r="D70" s="420"/>
      <c r="E70" s="420"/>
      <c r="F70" s="420"/>
      <c r="G70" s="420"/>
      <c r="H70" s="420"/>
      <c r="I70" s="324"/>
      <c r="J70" s="324"/>
      <c r="K70" s="324"/>
      <c r="L70" s="324"/>
      <c r="M70" s="324"/>
      <c r="N70" s="324"/>
      <c r="O70" s="324"/>
      <c r="P70" s="324"/>
      <c r="Q70" s="324"/>
      <c r="R70" s="324"/>
      <c r="S70" s="324"/>
      <c r="T70" s="324"/>
      <c r="U70" s="324"/>
      <c r="V70" s="324"/>
      <c r="W70" s="324"/>
      <c r="X70" s="324"/>
      <c r="Y70" s="324"/>
      <c r="Z70" s="324"/>
      <c r="AA70" s="324"/>
      <c r="AB70" s="324"/>
      <c r="AC70" s="324"/>
      <c r="AD70" s="324"/>
      <c r="AE70" s="324"/>
      <c r="AF70" s="324"/>
      <c r="AG70" s="324"/>
      <c r="AH70" s="324"/>
      <c r="AI70" s="324"/>
      <c r="AJ70" s="324"/>
      <c r="AK70" s="324"/>
      <c r="AL70" s="324"/>
      <c r="AM70" s="324"/>
      <c r="AN70" s="324"/>
      <c r="AO70" s="324"/>
      <c r="AP70" s="324"/>
      <c r="AQ70" s="324"/>
      <c r="AR70" s="324"/>
      <c r="AS70" s="324"/>
      <c r="AT70" s="324"/>
      <c r="AU70" s="324"/>
    </row>
    <row r="71" spans="2:70" x14ac:dyDescent="0.2">
      <c r="B71" s="420"/>
      <c r="C71" s="420"/>
      <c r="D71" s="420"/>
      <c r="E71" s="420"/>
      <c r="F71" s="420"/>
      <c r="G71" s="420"/>
      <c r="H71" s="420"/>
      <c r="I71" s="324"/>
      <c r="J71" s="324"/>
      <c r="K71" s="324"/>
      <c r="L71" s="324"/>
      <c r="M71" s="324"/>
      <c r="N71" s="324"/>
      <c r="O71" s="324"/>
      <c r="P71" s="324"/>
      <c r="Q71" s="324"/>
      <c r="R71" s="324"/>
      <c r="S71" s="324"/>
      <c r="T71" s="324"/>
      <c r="U71" s="324"/>
      <c r="V71" s="324"/>
      <c r="W71" s="324"/>
      <c r="X71" s="324"/>
      <c r="Y71" s="324"/>
      <c r="Z71" s="324"/>
      <c r="AA71" s="324"/>
      <c r="AB71" s="324"/>
      <c r="AC71" s="324"/>
      <c r="AD71" s="324"/>
      <c r="AE71" s="324"/>
      <c r="AF71" s="324"/>
      <c r="AG71" s="324"/>
      <c r="AH71" s="324"/>
      <c r="AI71" s="324"/>
      <c r="AJ71" s="324"/>
      <c r="AK71" s="324"/>
      <c r="AL71" s="324"/>
      <c r="AM71" s="324"/>
      <c r="AN71" s="324"/>
      <c r="AO71" s="324"/>
      <c r="AP71" s="324"/>
      <c r="AQ71" s="324"/>
      <c r="AR71" s="324"/>
      <c r="AS71" s="324"/>
      <c r="AT71" s="324"/>
      <c r="AU71" s="324"/>
    </row>
    <row r="72" spans="2:70" ht="15.75" x14ac:dyDescent="0.2">
      <c r="B72" s="420"/>
      <c r="C72" s="420"/>
      <c r="D72" s="420"/>
      <c r="E72" s="420"/>
      <c r="F72" s="420"/>
      <c r="G72" s="420"/>
      <c r="H72" s="420"/>
      <c r="I72" s="324"/>
      <c r="J72" s="324"/>
      <c r="K72" s="324"/>
      <c r="L72" s="324"/>
      <c r="M72" s="324"/>
      <c r="N72" s="324"/>
      <c r="O72" s="324"/>
      <c r="P72" s="324"/>
      <c r="Q72" s="324"/>
      <c r="R72" s="324"/>
      <c r="S72" s="324"/>
      <c r="T72" s="324"/>
      <c r="U72" s="324"/>
      <c r="V72" s="324"/>
      <c r="W72" s="324"/>
      <c r="X72" s="324"/>
      <c r="Y72" s="324"/>
      <c r="Z72" s="324"/>
      <c r="AA72" s="324"/>
      <c r="AB72" s="324"/>
      <c r="AC72" s="324"/>
      <c r="AD72" s="324"/>
      <c r="AE72" s="324"/>
      <c r="AF72" s="324"/>
      <c r="AG72" s="324"/>
      <c r="AH72" s="324"/>
      <c r="AI72" s="324"/>
      <c r="AJ72" s="324"/>
      <c r="AK72" s="324"/>
      <c r="AL72" s="324"/>
      <c r="AM72" s="324"/>
      <c r="AN72" s="324"/>
      <c r="AO72" s="324"/>
      <c r="AP72" s="324"/>
      <c r="AQ72" s="324"/>
      <c r="AR72" s="324"/>
      <c r="AS72" s="324"/>
      <c r="AT72" s="324"/>
      <c r="AU72" s="324"/>
    </row>
    <row r="73" spans="2:70" ht="15.75" x14ac:dyDescent="0.2">
      <c r="B73" s="420"/>
      <c r="C73" s="420"/>
      <c r="D73" s="420"/>
      <c r="E73" s="420"/>
      <c r="F73" s="420"/>
      <c r="G73" s="420"/>
      <c r="H73" s="420"/>
      <c r="I73" s="325"/>
      <c r="J73" s="325"/>
      <c r="K73" s="325"/>
      <c r="L73" s="325"/>
      <c r="M73" s="325"/>
      <c r="N73" s="325"/>
      <c r="O73" s="325"/>
      <c r="P73" s="325"/>
      <c r="Q73" s="325"/>
      <c r="R73" s="325"/>
      <c r="S73" s="325"/>
      <c r="T73" s="325"/>
      <c r="U73" s="325"/>
      <c r="V73" s="325"/>
      <c r="W73" s="325"/>
      <c r="X73" s="325"/>
      <c r="Y73" s="325"/>
      <c r="Z73" s="325"/>
      <c r="AA73" s="325"/>
      <c r="AB73" s="325"/>
      <c r="AC73" s="325"/>
      <c r="AD73" s="325"/>
      <c r="AE73" s="325"/>
      <c r="AF73" s="325"/>
      <c r="AG73" s="325"/>
      <c r="AH73" s="325"/>
      <c r="AI73" s="325"/>
      <c r="AJ73" s="325"/>
      <c r="AK73" s="325"/>
      <c r="AL73" s="325"/>
      <c r="AM73" s="325"/>
      <c r="AN73" s="325"/>
      <c r="AO73" s="325"/>
      <c r="AP73" s="325"/>
      <c r="AQ73" s="325"/>
      <c r="AR73" s="325"/>
      <c r="AS73" s="325"/>
      <c r="AT73" s="325"/>
      <c r="AU73" s="325"/>
    </row>
  </sheetData>
  <sheetProtection selectLockedCells="1"/>
  <dataConsolidate/>
  <mergeCells count="78">
    <mergeCell ref="I15:AU15"/>
    <mergeCell ref="AN1:AU1"/>
    <mergeCell ref="K2:AV2"/>
    <mergeCell ref="B5:H5"/>
    <mergeCell ref="I5:AV5"/>
    <mergeCell ref="B6:H10"/>
    <mergeCell ref="B11:H11"/>
    <mergeCell ref="I11:AV11"/>
    <mergeCell ref="B12:H12"/>
    <mergeCell ref="I12:AV12"/>
    <mergeCell ref="B13:H13"/>
    <mergeCell ref="I13:AV13"/>
    <mergeCell ref="I14:AV14"/>
    <mergeCell ref="B25:H25"/>
    <mergeCell ref="I25:AV25"/>
    <mergeCell ref="I16:AV16"/>
    <mergeCell ref="D17:M17"/>
    <mergeCell ref="O17:R17"/>
    <mergeCell ref="T17:AA17"/>
    <mergeCell ref="AC17:AF17"/>
    <mergeCell ref="AH17:AK17"/>
    <mergeCell ref="AM17:AP17"/>
    <mergeCell ref="AR17:AU17"/>
    <mergeCell ref="B18:H18"/>
    <mergeCell ref="I18:AV18"/>
    <mergeCell ref="B19:H23"/>
    <mergeCell ref="B24:H24"/>
    <mergeCell ref="I24:AV24"/>
    <mergeCell ref="B26:H26"/>
    <mergeCell ref="I26:AV26"/>
    <mergeCell ref="I27:AV27"/>
    <mergeCell ref="I28:AU28"/>
    <mergeCell ref="I29:AU29"/>
    <mergeCell ref="AR30:AU30"/>
    <mergeCell ref="B31:H31"/>
    <mergeCell ref="I31:AV31"/>
    <mergeCell ref="B32:H36"/>
    <mergeCell ref="I39:AV39"/>
    <mergeCell ref="B38:H38"/>
    <mergeCell ref="I38:AV38"/>
    <mergeCell ref="B39:H39"/>
    <mergeCell ref="B37:H37"/>
    <mergeCell ref="I37:AV37"/>
    <mergeCell ref="D30:M30"/>
    <mergeCell ref="O30:R30"/>
    <mergeCell ref="T30:AA30"/>
    <mergeCell ref="AC30:AF30"/>
    <mergeCell ref="AH30:AK30"/>
    <mergeCell ref="AM30:AP30"/>
    <mergeCell ref="I40:AV40"/>
    <mergeCell ref="I54:AU54"/>
    <mergeCell ref="I42:AU42"/>
    <mergeCell ref="B44:H44"/>
    <mergeCell ref="I44:AV44"/>
    <mergeCell ref="B45:H49"/>
    <mergeCell ref="B50:H50"/>
    <mergeCell ref="I50:AV50"/>
    <mergeCell ref="B51:H51"/>
    <mergeCell ref="I51:AV51"/>
    <mergeCell ref="B52:H52"/>
    <mergeCell ref="I52:AV52"/>
    <mergeCell ref="I53:AV53"/>
    <mergeCell ref="I41:AU41"/>
    <mergeCell ref="I55:AU55"/>
    <mergeCell ref="B57:H57"/>
    <mergeCell ref="I57:AV57"/>
    <mergeCell ref="B58:H62"/>
    <mergeCell ref="B63:H63"/>
    <mergeCell ref="I63:AV63"/>
    <mergeCell ref="B70:H71"/>
    <mergeCell ref="B72:H72"/>
    <mergeCell ref="B73:H73"/>
    <mergeCell ref="B64:H64"/>
    <mergeCell ref="I64:AV64"/>
    <mergeCell ref="I65:AV65"/>
    <mergeCell ref="I66:AV66"/>
    <mergeCell ref="I67:AV67"/>
    <mergeCell ref="I68:AV68"/>
  </mergeCells>
  <printOptions horizontalCentered="1"/>
  <pageMargins left="0.19685039370078741" right="0.19685039370078741" top="0.35433070866141736" bottom="0.47244094488188981" header="0.19685039370078741" footer="0.23622047244094491"/>
  <pageSetup paperSize="9" scale="49" orientation="portrait" cellComments="asDisplayed" r:id="rId1"/>
  <headerFooter alignWithMargins="0">
    <oddFooter>&amp;L&amp;9&amp;GAide à l'écriture jeu vidéo&amp;R&amp;9 3_Fiche auteurs</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26625" r:id="rId5" name="Check Box 1">
              <controlPr defaultSize="0" autoFill="0" autoLine="0" autoPict="0">
                <anchor moveWithCells="1">
                  <from>
                    <xdr:col>14</xdr:col>
                    <xdr:colOff>133350</xdr:colOff>
                    <xdr:row>6</xdr:row>
                    <xdr:rowOff>28575</xdr:rowOff>
                  </from>
                  <to>
                    <xdr:col>15</xdr:col>
                    <xdr:colOff>180975</xdr:colOff>
                    <xdr:row>6</xdr:row>
                    <xdr:rowOff>295275</xdr:rowOff>
                  </to>
                </anchor>
              </controlPr>
            </control>
          </mc:Choice>
        </mc:AlternateContent>
        <mc:AlternateContent xmlns:mc="http://schemas.openxmlformats.org/markup-compatibility/2006">
          <mc:Choice Requires="x14">
            <control shapeId="26626" r:id="rId6" name="Check Box 2">
              <controlPr defaultSize="0" autoFill="0" autoLine="0" autoPict="0">
                <anchor moveWithCells="1">
                  <from>
                    <xdr:col>23</xdr:col>
                    <xdr:colOff>133350</xdr:colOff>
                    <xdr:row>6</xdr:row>
                    <xdr:rowOff>28575</xdr:rowOff>
                  </from>
                  <to>
                    <xdr:col>24</xdr:col>
                    <xdr:colOff>180975</xdr:colOff>
                    <xdr:row>6</xdr:row>
                    <xdr:rowOff>295275</xdr:rowOff>
                  </to>
                </anchor>
              </controlPr>
            </control>
          </mc:Choice>
        </mc:AlternateContent>
        <mc:AlternateContent xmlns:mc="http://schemas.openxmlformats.org/markup-compatibility/2006">
          <mc:Choice Requires="x14">
            <control shapeId="26627" r:id="rId7" name="Check Box 3">
              <controlPr defaultSize="0" autoFill="0" autoLine="0" autoPict="0">
                <anchor moveWithCells="1">
                  <from>
                    <xdr:col>30</xdr:col>
                    <xdr:colOff>133350</xdr:colOff>
                    <xdr:row>6</xdr:row>
                    <xdr:rowOff>28575</xdr:rowOff>
                  </from>
                  <to>
                    <xdr:col>31</xdr:col>
                    <xdr:colOff>180975</xdr:colOff>
                    <xdr:row>6</xdr:row>
                    <xdr:rowOff>295275</xdr:rowOff>
                  </to>
                </anchor>
              </controlPr>
            </control>
          </mc:Choice>
        </mc:AlternateContent>
        <mc:AlternateContent xmlns:mc="http://schemas.openxmlformats.org/markup-compatibility/2006">
          <mc:Choice Requires="x14">
            <control shapeId="26628" r:id="rId8" name="Check Box 4">
              <controlPr defaultSize="0" autoFill="0" autoLine="0" autoPict="0">
                <anchor moveWithCells="1">
                  <from>
                    <xdr:col>11</xdr:col>
                    <xdr:colOff>171450</xdr:colOff>
                    <xdr:row>8</xdr:row>
                    <xdr:rowOff>38100</xdr:rowOff>
                  </from>
                  <to>
                    <xdr:col>12</xdr:col>
                    <xdr:colOff>219075</xdr:colOff>
                    <xdr:row>8</xdr:row>
                    <xdr:rowOff>304800</xdr:rowOff>
                  </to>
                </anchor>
              </controlPr>
            </control>
          </mc:Choice>
        </mc:AlternateContent>
        <mc:AlternateContent xmlns:mc="http://schemas.openxmlformats.org/markup-compatibility/2006">
          <mc:Choice Requires="x14">
            <control shapeId="26629" r:id="rId9" name="Check Box 5">
              <controlPr defaultSize="0" autoFill="0" autoLine="0" autoPict="0">
                <anchor moveWithCells="1">
                  <from>
                    <xdr:col>11</xdr:col>
                    <xdr:colOff>171450</xdr:colOff>
                    <xdr:row>21</xdr:row>
                    <xdr:rowOff>38100</xdr:rowOff>
                  </from>
                  <to>
                    <xdr:col>12</xdr:col>
                    <xdr:colOff>219075</xdr:colOff>
                    <xdr:row>21</xdr:row>
                    <xdr:rowOff>304800</xdr:rowOff>
                  </to>
                </anchor>
              </controlPr>
            </control>
          </mc:Choice>
        </mc:AlternateContent>
        <mc:AlternateContent xmlns:mc="http://schemas.openxmlformats.org/markup-compatibility/2006">
          <mc:Choice Requires="x14">
            <control shapeId="26630" r:id="rId10" name="Check Box 6">
              <controlPr defaultSize="0" autoFill="0" autoLine="0" autoPict="0">
                <anchor moveWithCells="1">
                  <from>
                    <xdr:col>11</xdr:col>
                    <xdr:colOff>171450</xdr:colOff>
                    <xdr:row>34</xdr:row>
                    <xdr:rowOff>38100</xdr:rowOff>
                  </from>
                  <to>
                    <xdr:col>12</xdr:col>
                    <xdr:colOff>219075</xdr:colOff>
                    <xdr:row>34</xdr:row>
                    <xdr:rowOff>304800</xdr:rowOff>
                  </to>
                </anchor>
              </controlPr>
            </control>
          </mc:Choice>
        </mc:AlternateContent>
        <mc:AlternateContent xmlns:mc="http://schemas.openxmlformats.org/markup-compatibility/2006">
          <mc:Choice Requires="x14">
            <control shapeId="26631" r:id="rId11" name="Check Box 7">
              <controlPr defaultSize="0" autoFill="0" autoLine="0" autoPict="0">
                <anchor moveWithCells="1">
                  <from>
                    <xdr:col>14</xdr:col>
                    <xdr:colOff>133350</xdr:colOff>
                    <xdr:row>19</xdr:row>
                    <xdr:rowOff>28575</xdr:rowOff>
                  </from>
                  <to>
                    <xdr:col>15</xdr:col>
                    <xdr:colOff>180975</xdr:colOff>
                    <xdr:row>19</xdr:row>
                    <xdr:rowOff>295275</xdr:rowOff>
                  </to>
                </anchor>
              </controlPr>
            </control>
          </mc:Choice>
        </mc:AlternateContent>
        <mc:AlternateContent xmlns:mc="http://schemas.openxmlformats.org/markup-compatibility/2006">
          <mc:Choice Requires="x14">
            <control shapeId="26632" r:id="rId12" name="Check Box 8">
              <controlPr defaultSize="0" autoFill="0" autoLine="0" autoPict="0">
                <anchor moveWithCells="1">
                  <from>
                    <xdr:col>23</xdr:col>
                    <xdr:colOff>133350</xdr:colOff>
                    <xdr:row>19</xdr:row>
                    <xdr:rowOff>28575</xdr:rowOff>
                  </from>
                  <to>
                    <xdr:col>24</xdr:col>
                    <xdr:colOff>180975</xdr:colOff>
                    <xdr:row>19</xdr:row>
                    <xdr:rowOff>295275</xdr:rowOff>
                  </to>
                </anchor>
              </controlPr>
            </control>
          </mc:Choice>
        </mc:AlternateContent>
        <mc:AlternateContent xmlns:mc="http://schemas.openxmlformats.org/markup-compatibility/2006">
          <mc:Choice Requires="x14">
            <control shapeId="26633" r:id="rId13" name="Check Box 9">
              <controlPr defaultSize="0" autoFill="0" autoLine="0" autoPict="0">
                <anchor moveWithCells="1">
                  <from>
                    <xdr:col>30</xdr:col>
                    <xdr:colOff>133350</xdr:colOff>
                    <xdr:row>19</xdr:row>
                    <xdr:rowOff>28575</xdr:rowOff>
                  </from>
                  <to>
                    <xdr:col>31</xdr:col>
                    <xdr:colOff>180975</xdr:colOff>
                    <xdr:row>19</xdr:row>
                    <xdr:rowOff>295275</xdr:rowOff>
                  </to>
                </anchor>
              </controlPr>
            </control>
          </mc:Choice>
        </mc:AlternateContent>
        <mc:AlternateContent xmlns:mc="http://schemas.openxmlformats.org/markup-compatibility/2006">
          <mc:Choice Requires="x14">
            <control shapeId="26634" r:id="rId14" name="Check Box 10">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635" r:id="rId15" name="Check Box 11">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636" r:id="rId16" name="Check Box 12">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637" r:id="rId17" name="Check Box 13">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638" r:id="rId18" name="Check Box 14">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639" r:id="rId19" name="Check Box 15">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640" r:id="rId20" name="Check Box 16">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641" r:id="rId21" name="Check Box 17">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642" r:id="rId22" name="Check Box 18">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643" r:id="rId23" name="Check Box 19">
              <controlPr defaultSize="0" autoFill="0" autoLine="0" autoPict="0">
                <anchor moveWithCells="1">
                  <from>
                    <xdr:col>11</xdr:col>
                    <xdr:colOff>171450</xdr:colOff>
                    <xdr:row>34</xdr:row>
                    <xdr:rowOff>38100</xdr:rowOff>
                  </from>
                  <to>
                    <xdr:col>12</xdr:col>
                    <xdr:colOff>219075</xdr:colOff>
                    <xdr:row>34</xdr:row>
                    <xdr:rowOff>304800</xdr:rowOff>
                  </to>
                </anchor>
              </controlPr>
            </control>
          </mc:Choice>
        </mc:AlternateContent>
        <mc:AlternateContent xmlns:mc="http://schemas.openxmlformats.org/markup-compatibility/2006">
          <mc:Choice Requires="x14">
            <control shapeId="26644" r:id="rId24" name="Check Box 20">
              <controlPr defaultSize="0" autoFill="0" autoLine="0" autoPict="0">
                <anchor moveWithCells="1">
                  <from>
                    <xdr:col>11</xdr:col>
                    <xdr:colOff>171450</xdr:colOff>
                    <xdr:row>34</xdr:row>
                    <xdr:rowOff>38100</xdr:rowOff>
                  </from>
                  <to>
                    <xdr:col>12</xdr:col>
                    <xdr:colOff>219075</xdr:colOff>
                    <xdr:row>34</xdr:row>
                    <xdr:rowOff>304800</xdr:rowOff>
                  </to>
                </anchor>
              </controlPr>
            </control>
          </mc:Choice>
        </mc:AlternateContent>
        <mc:AlternateContent xmlns:mc="http://schemas.openxmlformats.org/markup-compatibility/2006">
          <mc:Choice Requires="x14">
            <control shapeId="26645" r:id="rId25" name="Check Box 21">
              <controlPr defaultSize="0" autoFill="0" autoLine="0" autoPict="0">
                <anchor moveWithCells="1">
                  <from>
                    <xdr:col>14</xdr:col>
                    <xdr:colOff>133350</xdr:colOff>
                    <xdr:row>32</xdr:row>
                    <xdr:rowOff>28575</xdr:rowOff>
                  </from>
                  <to>
                    <xdr:col>15</xdr:col>
                    <xdr:colOff>180975</xdr:colOff>
                    <xdr:row>32</xdr:row>
                    <xdr:rowOff>295275</xdr:rowOff>
                  </to>
                </anchor>
              </controlPr>
            </control>
          </mc:Choice>
        </mc:AlternateContent>
        <mc:AlternateContent xmlns:mc="http://schemas.openxmlformats.org/markup-compatibility/2006">
          <mc:Choice Requires="x14">
            <control shapeId="26646" r:id="rId26" name="Check Box 22">
              <controlPr defaultSize="0" autoFill="0" autoLine="0" autoPict="0">
                <anchor moveWithCells="1">
                  <from>
                    <xdr:col>23</xdr:col>
                    <xdr:colOff>133350</xdr:colOff>
                    <xdr:row>32</xdr:row>
                    <xdr:rowOff>28575</xdr:rowOff>
                  </from>
                  <to>
                    <xdr:col>24</xdr:col>
                    <xdr:colOff>180975</xdr:colOff>
                    <xdr:row>32</xdr:row>
                    <xdr:rowOff>295275</xdr:rowOff>
                  </to>
                </anchor>
              </controlPr>
            </control>
          </mc:Choice>
        </mc:AlternateContent>
        <mc:AlternateContent xmlns:mc="http://schemas.openxmlformats.org/markup-compatibility/2006">
          <mc:Choice Requires="x14">
            <control shapeId="26647" r:id="rId27" name="Check Box 23">
              <controlPr defaultSize="0" autoFill="0" autoLine="0" autoPict="0">
                <anchor moveWithCells="1">
                  <from>
                    <xdr:col>30</xdr:col>
                    <xdr:colOff>133350</xdr:colOff>
                    <xdr:row>32</xdr:row>
                    <xdr:rowOff>28575</xdr:rowOff>
                  </from>
                  <to>
                    <xdr:col>31</xdr:col>
                    <xdr:colOff>180975</xdr:colOff>
                    <xdr:row>32</xdr:row>
                    <xdr:rowOff>295275</xdr:rowOff>
                  </to>
                </anchor>
              </controlPr>
            </control>
          </mc:Choice>
        </mc:AlternateContent>
        <mc:AlternateContent xmlns:mc="http://schemas.openxmlformats.org/markup-compatibility/2006">
          <mc:Choice Requires="x14">
            <control shapeId="26648" r:id="rId28" name="Check Box 24">
              <controlPr defaultSize="0" autoFill="0" autoLine="0" autoPict="0">
                <anchor moveWithCells="1">
                  <from>
                    <xdr:col>14</xdr:col>
                    <xdr:colOff>133350</xdr:colOff>
                    <xdr:row>58</xdr:row>
                    <xdr:rowOff>28575</xdr:rowOff>
                  </from>
                  <to>
                    <xdr:col>15</xdr:col>
                    <xdr:colOff>180975</xdr:colOff>
                    <xdr:row>58</xdr:row>
                    <xdr:rowOff>304800</xdr:rowOff>
                  </to>
                </anchor>
              </controlPr>
            </control>
          </mc:Choice>
        </mc:AlternateContent>
        <mc:AlternateContent xmlns:mc="http://schemas.openxmlformats.org/markup-compatibility/2006">
          <mc:Choice Requires="x14">
            <control shapeId="26649" r:id="rId29" name="Check Box 25">
              <controlPr defaultSize="0" autoFill="0" autoLine="0" autoPict="0">
                <anchor moveWithCells="1">
                  <from>
                    <xdr:col>23</xdr:col>
                    <xdr:colOff>133350</xdr:colOff>
                    <xdr:row>58</xdr:row>
                    <xdr:rowOff>28575</xdr:rowOff>
                  </from>
                  <to>
                    <xdr:col>24</xdr:col>
                    <xdr:colOff>180975</xdr:colOff>
                    <xdr:row>58</xdr:row>
                    <xdr:rowOff>304800</xdr:rowOff>
                  </to>
                </anchor>
              </controlPr>
            </control>
          </mc:Choice>
        </mc:AlternateContent>
        <mc:AlternateContent xmlns:mc="http://schemas.openxmlformats.org/markup-compatibility/2006">
          <mc:Choice Requires="x14">
            <control shapeId="26650" r:id="rId30" name="Check Box 26">
              <controlPr defaultSize="0" autoFill="0" autoLine="0" autoPict="0">
                <anchor moveWithCells="1">
                  <from>
                    <xdr:col>30</xdr:col>
                    <xdr:colOff>133350</xdr:colOff>
                    <xdr:row>58</xdr:row>
                    <xdr:rowOff>28575</xdr:rowOff>
                  </from>
                  <to>
                    <xdr:col>31</xdr:col>
                    <xdr:colOff>180975</xdr:colOff>
                    <xdr:row>58</xdr:row>
                    <xdr:rowOff>304800</xdr:rowOff>
                  </to>
                </anchor>
              </controlPr>
            </control>
          </mc:Choice>
        </mc:AlternateContent>
        <mc:AlternateContent xmlns:mc="http://schemas.openxmlformats.org/markup-compatibility/2006">
          <mc:Choice Requires="x14">
            <control shapeId="26651" r:id="rId31" name="Check Box 27">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652" r:id="rId32" name="Check Box 28">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653" r:id="rId33" name="Check Box 29">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654" r:id="rId34" name="Check Box 30">
              <controlPr defaultSize="0" autoFill="0" autoLine="0" autoPict="0">
                <anchor moveWithCells="1">
                  <from>
                    <xdr:col>14</xdr:col>
                    <xdr:colOff>133350</xdr:colOff>
                    <xdr:row>58</xdr:row>
                    <xdr:rowOff>28575</xdr:rowOff>
                  </from>
                  <to>
                    <xdr:col>15</xdr:col>
                    <xdr:colOff>180975</xdr:colOff>
                    <xdr:row>58</xdr:row>
                    <xdr:rowOff>304800</xdr:rowOff>
                  </to>
                </anchor>
              </controlPr>
            </control>
          </mc:Choice>
        </mc:AlternateContent>
        <mc:AlternateContent xmlns:mc="http://schemas.openxmlformats.org/markup-compatibility/2006">
          <mc:Choice Requires="x14">
            <control shapeId="26655" r:id="rId35" name="Check Box 31">
              <controlPr defaultSize="0" autoFill="0" autoLine="0" autoPict="0">
                <anchor moveWithCells="1">
                  <from>
                    <xdr:col>23</xdr:col>
                    <xdr:colOff>133350</xdr:colOff>
                    <xdr:row>58</xdr:row>
                    <xdr:rowOff>28575</xdr:rowOff>
                  </from>
                  <to>
                    <xdr:col>24</xdr:col>
                    <xdr:colOff>180975</xdr:colOff>
                    <xdr:row>58</xdr:row>
                    <xdr:rowOff>304800</xdr:rowOff>
                  </to>
                </anchor>
              </controlPr>
            </control>
          </mc:Choice>
        </mc:AlternateContent>
        <mc:AlternateContent xmlns:mc="http://schemas.openxmlformats.org/markup-compatibility/2006">
          <mc:Choice Requires="x14">
            <control shapeId="26656" r:id="rId36" name="Check Box 32">
              <controlPr defaultSize="0" autoFill="0" autoLine="0" autoPict="0">
                <anchor moveWithCells="1">
                  <from>
                    <xdr:col>30</xdr:col>
                    <xdr:colOff>133350</xdr:colOff>
                    <xdr:row>58</xdr:row>
                    <xdr:rowOff>28575</xdr:rowOff>
                  </from>
                  <to>
                    <xdr:col>31</xdr:col>
                    <xdr:colOff>180975</xdr:colOff>
                    <xdr:row>58</xdr:row>
                    <xdr:rowOff>304800</xdr:rowOff>
                  </to>
                </anchor>
              </controlPr>
            </control>
          </mc:Choice>
        </mc:AlternateContent>
        <mc:AlternateContent xmlns:mc="http://schemas.openxmlformats.org/markup-compatibility/2006">
          <mc:Choice Requires="x14">
            <control shapeId="26657" r:id="rId37" name="Check Box 33">
              <controlPr defaultSize="0" autoFill="0" autoLine="0" autoPict="0">
                <anchor moveWithCells="1">
                  <from>
                    <xdr:col>14</xdr:col>
                    <xdr:colOff>133350</xdr:colOff>
                    <xdr:row>19</xdr:row>
                    <xdr:rowOff>28575</xdr:rowOff>
                  </from>
                  <to>
                    <xdr:col>15</xdr:col>
                    <xdr:colOff>180975</xdr:colOff>
                    <xdr:row>19</xdr:row>
                    <xdr:rowOff>295275</xdr:rowOff>
                  </to>
                </anchor>
              </controlPr>
            </control>
          </mc:Choice>
        </mc:AlternateContent>
        <mc:AlternateContent xmlns:mc="http://schemas.openxmlformats.org/markup-compatibility/2006">
          <mc:Choice Requires="x14">
            <control shapeId="26658" r:id="rId38" name="Check Box 34">
              <controlPr defaultSize="0" autoFill="0" autoLine="0" autoPict="0">
                <anchor moveWithCells="1">
                  <from>
                    <xdr:col>23</xdr:col>
                    <xdr:colOff>133350</xdr:colOff>
                    <xdr:row>19</xdr:row>
                    <xdr:rowOff>28575</xdr:rowOff>
                  </from>
                  <to>
                    <xdr:col>24</xdr:col>
                    <xdr:colOff>180975</xdr:colOff>
                    <xdr:row>19</xdr:row>
                    <xdr:rowOff>295275</xdr:rowOff>
                  </to>
                </anchor>
              </controlPr>
            </control>
          </mc:Choice>
        </mc:AlternateContent>
        <mc:AlternateContent xmlns:mc="http://schemas.openxmlformats.org/markup-compatibility/2006">
          <mc:Choice Requires="x14">
            <control shapeId="26659" r:id="rId39" name="Check Box 35">
              <controlPr defaultSize="0" autoFill="0" autoLine="0" autoPict="0">
                <anchor moveWithCells="1">
                  <from>
                    <xdr:col>30</xdr:col>
                    <xdr:colOff>133350</xdr:colOff>
                    <xdr:row>19</xdr:row>
                    <xdr:rowOff>28575</xdr:rowOff>
                  </from>
                  <to>
                    <xdr:col>31</xdr:col>
                    <xdr:colOff>180975</xdr:colOff>
                    <xdr:row>19</xdr:row>
                    <xdr:rowOff>295275</xdr:rowOff>
                  </to>
                </anchor>
              </controlPr>
            </control>
          </mc:Choice>
        </mc:AlternateContent>
        <mc:AlternateContent xmlns:mc="http://schemas.openxmlformats.org/markup-compatibility/2006">
          <mc:Choice Requires="x14">
            <control shapeId="26660" r:id="rId40" name="Check Box 36">
              <controlPr defaultSize="0" autoFill="0" autoLine="0" autoPict="0">
                <anchor moveWithCells="1">
                  <from>
                    <xdr:col>14</xdr:col>
                    <xdr:colOff>133350</xdr:colOff>
                    <xdr:row>32</xdr:row>
                    <xdr:rowOff>28575</xdr:rowOff>
                  </from>
                  <to>
                    <xdr:col>15</xdr:col>
                    <xdr:colOff>180975</xdr:colOff>
                    <xdr:row>32</xdr:row>
                    <xdr:rowOff>295275</xdr:rowOff>
                  </to>
                </anchor>
              </controlPr>
            </control>
          </mc:Choice>
        </mc:AlternateContent>
        <mc:AlternateContent xmlns:mc="http://schemas.openxmlformats.org/markup-compatibility/2006">
          <mc:Choice Requires="x14">
            <control shapeId="26661" r:id="rId41" name="Check Box 37">
              <controlPr defaultSize="0" autoFill="0" autoLine="0" autoPict="0">
                <anchor moveWithCells="1">
                  <from>
                    <xdr:col>23</xdr:col>
                    <xdr:colOff>133350</xdr:colOff>
                    <xdr:row>32</xdr:row>
                    <xdr:rowOff>28575</xdr:rowOff>
                  </from>
                  <to>
                    <xdr:col>24</xdr:col>
                    <xdr:colOff>180975</xdr:colOff>
                    <xdr:row>32</xdr:row>
                    <xdr:rowOff>295275</xdr:rowOff>
                  </to>
                </anchor>
              </controlPr>
            </control>
          </mc:Choice>
        </mc:AlternateContent>
        <mc:AlternateContent xmlns:mc="http://schemas.openxmlformats.org/markup-compatibility/2006">
          <mc:Choice Requires="x14">
            <control shapeId="26662" r:id="rId42" name="Check Box 38">
              <controlPr defaultSize="0" autoFill="0" autoLine="0" autoPict="0">
                <anchor moveWithCells="1">
                  <from>
                    <xdr:col>30</xdr:col>
                    <xdr:colOff>133350</xdr:colOff>
                    <xdr:row>32</xdr:row>
                    <xdr:rowOff>28575</xdr:rowOff>
                  </from>
                  <to>
                    <xdr:col>31</xdr:col>
                    <xdr:colOff>180975</xdr:colOff>
                    <xdr:row>32</xdr:row>
                    <xdr:rowOff>295275</xdr:rowOff>
                  </to>
                </anchor>
              </controlPr>
            </control>
          </mc:Choice>
        </mc:AlternateContent>
        <mc:AlternateContent xmlns:mc="http://schemas.openxmlformats.org/markup-compatibility/2006">
          <mc:Choice Requires="x14">
            <control shapeId="26663" r:id="rId43" name="Check Box 39">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664" r:id="rId44" name="Check Box 40">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665" r:id="rId45" name="Check Box 41">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666" r:id="rId46" name="Check Box 42">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667" r:id="rId47" name="Check Box 43">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668" r:id="rId48" name="Check Box 44">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669" r:id="rId49" name="Check Box 45">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670" r:id="rId50" name="Check Box 46">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671" r:id="rId51" name="Check Box 47">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672" r:id="rId52" name="Check Box 48">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673" r:id="rId53" name="Check Box 49">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674" r:id="rId54" name="Check Box 50">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675" r:id="rId55" name="Check Box 51">
              <controlPr defaultSize="0" autoFill="0" autoLine="0" autoPict="0">
                <anchor moveWithCells="1">
                  <from>
                    <xdr:col>41</xdr:col>
                    <xdr:colOff>133350</xdr:colOff>
                    <xdr:row>6</xdr:row>
                    <xdr:rowOff>28575</xdr:rowOff>
                  </from>
                  <to>
                    <xdr:col>43</xdr:col>
                    <xdr:colOff>28575</xdr:colOff>
                    <xdr:row>6</xdr:row>
                    <xdr:rowOff>295275</xdr:rowOff>
                  </to>
                </anchor>
              </controlPr>
            </control>
          </mc:Choice>
        </mc:AlternateContent>
        <mc:AlternateContent xmlns:mc="http://schemas.openxmlformats.org/markup-compatibility/2006">
          <mc:Choice Requires="x14">
            <control shapeId="26676" r:id="rId56" name="Check Box 52">
              <controlPr defaultSize="0" autoFill="0" autoLine="0" autoPict="0">
                <anchor moveWithCells="1">
                  <from>
                    <xdr:col>41</xdr:col>
                    <xdr:colOff>133350</xdr:colOff>
                    <xdr:row>19</xdr:row>
                    <xdr:rowOff>28575</xdr:rowOff>
                  </from>
                  <to>
                    <xdr:col>43</xdr:col>
                    <xdr:colOff>28575</xdr:colOff>
                    <xdr:row>19</xdr:row>
                    <xdr:rowOff>295275</xdr:rowOff>
                  </to>
                </anchor>
              </controlPr>
            </control>
          </mc:Choice>
        </mc:AlternateContent>
        <mc:AlternateContent xmlns:mc="http://schemas.openxmlformats.org/markup-compatibility/2006">
          <mc:Choice Requires="x14">
            <control shapeId="26677" r:id="rId57" name="Check Box 53">
              <controlPr defaultSize="0" autoFill="0" autoLine="0" autoPict="0">
                <anchor moveWithCells="1">
                  <from>
                    <xdr:col>41</xdr:col>
                    <xdr:colOff>133350</xdr:colOff>
                    <xdr:row>32</xdr:row>
                    <xdr:rowOff>28575</xdr:rowOff>
                  </from>
                  <to>
                    <xdr:col>43</xdr:col>
                    <xdr:colOff>28575</xdr:colOff>
                    <xdr:row>32</xdr:row>
                    <xdr:rowOff>295275</xdr:rowOff>
                  </to>
                </anchor>
              </controlPr>
            </control>
          </mc:Choice>
        </mc:AlternateContent>
        <mc:AlternateContent xmlns:mc="http://schemas.openxmlformats.org/markup-compatibility/2006">
          <mc:Choice Requires="x14">
            <control shapeId="26678" r:id="rId58" name="Check Box 54">
              <controlPr defaultSize="0" autoFill="0" autoLine="0" autoPict="0">
                <anchor moveWithCells="1">
                  <from>
                    <xdr:col>41</xdr:col>
                    <xdr:colOff>133350</xdr:colOff>
                    <xdr:row>45</xdr:row>
                    <xdr:rowOff>28575</xdr:rowOff>
                  </from>
                  <to>
                    <xdr:col>43</xdr:col>
                    <xdr:colOff>28575</xdr:colOff>
                    <xdr:row>45</xdr:row>
                    <xdr:rowOff>295275</xdr:rowOff>
                  </to>
                </anchor>
              </controlPr>
            </control>
          </mc:Choice>
        </mc:AlternateContent>
        <mc:AlternateContent xmlns:mc="http://schemas.openxmlformats.org/markup-compatibility/2006">
          <mc:Choice Requires="x14">
            <control shapeId="26679" r:id="rId59" name="Check Box 55">
              <controlPr defaultSize="0" autoFill="0" autoLine="0" autoPict="0">
                <anchor moveWithCells="1">
                  <from>
                    <xdr:col>41</xdr:col>
                    <xdr:colOff>133350</xdr:colOff>
                    <xdr:row>58</xdr:row>
                    <xdr:rowOff>28575</xdr:rowOff>
                  </from>
                  <to>
                    <xdr:col>43</xdr:col>
                    <xdr:colOff>28575</xdr:colOff>
                    <xdr:row>58</xdr:row>
                    <xdr:rowOff>295275</xdr:rowOff>
                  </to>
                </anchor>
              </controlPr>
            </control>
          </mc:Choice>
        </mc:AlternateContent>
        <mc:AlternateContent xmlns:mc="http://schemas.openxmlformats.org/markup-compatibility/2006">
          <mc:Choice Requires="x14">
            <control shapeId="26680" r:id="rId60" name="Check Box 56">
              <controlPr defaultSize="0" autoFill="0" autoLine="0" autoPict="0">
                <anchor moveWithCells="1">
                  <from>
                    <xdr:col>14</xdr:col>
                    <xdr:colOff>133350</xdr:colOff>
                    <xdr:row>19</xdr:row>
                    <xdr:rowOff>28575</xdr:rowOff>
                  </from>
                  <to>
                    <xdr:col>15</xdr:col>
                    <xdr:colOff>180975</xdr:colOff>
                    <xdr:row>19</xdr:row>
                    <xdr:rowOff>295275</xdr:rowOff>
                  </to>
                </anchor>
              </controlPr>
            </control>
          </mc:Choice>
        </mc:AlternateContent>
        <mc:AlternateContent xmlns:mc="http://schemas.openxmlformats.org/markup-compatibility/2006">
          <mc:Choice Requires="x14">
            <control shapeId="26681" r:id="rId61" name="Check Box 57">
              <controlPr defaultSize="0" autoFill="0" autoLine="0" autoPict="0">
                <anchor moveWithCells="1">
                  <from>
                    <xdr:col>23</xdr:col>
                    <xdr:colOff>133350</xdr:colOff>
                    <xdr:row>19</xdr:row>
                    <xdr:rowOff>28575</xdr:rowOff>
                  </from>
                  <to>
                    <xdr:col>24</xdr:col>
                    <xdr:colOff>180975</xdr:colOff>
                    <xdr:row>19</xdr:row>
                    <xdr:rowOff>295275</xdr:rowOff>
                  </to>
                </anchor>
              </controlPr>
            </control>
          </mc:Choice>
        </mc:AlternateContent>
        <mc:AlternateContent xmlns:mc="http://schemas.openxmlformats.org/markup-compatibility/2006">
          <mc:Choice Requires="x14">
            <control shapeId="26682" r:id="rId62" name="Check Box 58">
              <controlPr defaultSize="0" autoFill="0" autoLine="0" autoPict="0">
                <anchor moveWithCells="1">
                  <from>
                    <xdr:col>30</xdr:col>
                    <xdr:colOff>133350</xdr:colOff>
                    <xdr:row>19</xdr:row>
                    <xdr:rowOff>28575</xdr:rowOff>
                  </from>
                  <to>
                    <xdr:col>31</xdr:col>
                    <xdr:colOff>180975</xdr:colOff>
                    <xdr:row>19</xdr:row>
                    <xdr:rowOff>295275</xdr:rowOff>
                  </to>
                </anchor>
              </controlPr>
            </control>
          </mc:Choice>
        </mc:AlternateContent>
        <mc:AlternateContent xmlns:mc="http://schemas.openxmlformats.org/markup-compatibility/2006">
          <mc:Choice Requires="x14">
            <control shapeId="26683" r:id="rId63" name="Check Box 59">
              <controlPr defaultSize="0" autoFill="0" autoLine="0" autoPict="0">
                <anchor moveWithCells="1">
                  <from>
                    <xdr:col>11</xdr:col>
                    <xdr:colOff>171450</xdr:colOff>
                    <xdr:row>21</xdr:row>
                    <xdr:rowOff>38100</xdr:rowOff>
                  </from>
                  <to>
                    <xdr:col>12</xdr:col>
                    <xdr:colOff>219075</xdr:colOff>
                    <xdr:row>21</xdr:row>
                    <xdr:rowOff>304800</xdr:rowOff>
                  </to>
                </anchor>
              </controlPr>
            </control>
          </mc:Choice>
        </mc:AlternateContent>
        <mc:AlternateContent xmlns:mc="http://schemas.openxmlformats.org/markup-compatibility/2006">
          <mc:Choice Requires="x14">
            <control shapeId="26684" r:id="rId64" name="Check Box 60">
              <controlPr defaultSize="0" autoFill="0" autoLine="0" autoPict="0">
                <anchor moveWithCells="1">
                  <from>
                    <xdr:col>41</xdr:col>
                    <xdr:colOff>133350</xdr:colOff>
                    <xdr:row>19</xdr:row>
                    <xdr:rowOff>28575</xdr:rowOff>
                  </from>
                  <to>
                    <xdr:col>43</xdr:col>
                    <xdr:colOff>28575</xdr:colOff>
                    <xdr:row>19</xdr:row>
                    <xdr:rowOff>295275</xdr:rowOff>
                  </to>
                </anchor>
              </controlPr>
            </control>
          </mc:Choice>
        </mc:AlternateContent>
        <mc:AlternateContent xmlns:mc="http://schemas.openxmlformats.org/markup-compatibility/2006">
          <mc:Choice Requires="x14">
            <control shapeId="26685" r:id="rId65" name="Check Box 61">
              <controlPr defaultSize="0" autoFill="0" autoLine="0" autoPict="0">
                <anchor moveWithCells="1">
                  <from>
                    <xdr:col>11</xdr:col>
                    <xdr:colOff>171450</xdr:colOff>
                    <xdr:row>34</xdr:row>
                    <xdr:rowOff>38100</xdr:rowOff>
                  </from>
                  <to>
                    <xdr:col>12</xdr:col>
                    <xdr:colOff>219075</xdr:colOff>
                    <xdr:row>34</xdr:row>
                    <xdr:rowOff>304800</xdr:rowOff>
                  </to>
                </anchor>
              </controlPr>
            </control>
          </mc:Choice>
        </mc:AlternateContent>
        <mc:AlternateContent xmlns:mc="http://schemas.openxmlformats.org/markup-compatibility/2006">
          <mc:Choice Requires="x14">
            <control shapeId="26686" r:id="rId66" name="Check Box 62">
              <controlPr defaultSize="0" autoFill="0" autoLine="0" autoPict="0">
                <anchor moveWithCells="1">
                  <from>
                    <xdr:col>14</xdr:col>
                    <xdr:colOff>133350</xdr:colOff>
                    <xdr:row>32</xdr:row>
                    <xdr:rowOff>28575</xdr:rowOff>
                  </from>
                  <to>
                    <xdr:col>15</xdr:col>
                    <xdr:colOff>180975</xdr:colOff>
                    <xdr:row>32</xdr:row>
                    <xdr:rowOff>295275</xdr:rowOff>
                  </to>
                </anchor>
              </controlPr>
            </control>
          </mc:Choice>
        </mc:AlternateContent>
        <mc:AlternateContent xmlns:mc="http://schemas.openxmlformats.org/markup-compatibility/2006">
          <mc:Choice Requires="x14">
            <control shapeId="26687" r:id="rId67" name="Check Box 63">
              <controlPr defaultSize="0" autoFill="0" autoLine="0" autoPict="0">
                <anchor moveWithCells="1">
                  <from>
                    <xdr:col>23</xdr:col>
                    <xdr:colOff>133350</xdr:colOff>
                    <xdr:row>32</xdr:row>
                    <xdr:rowOff>28575</xdr:rowOff>
                  </from>
                  <to>
                    <xdr:col>24</xdr:col>
                    <xdr:colOff>180975</xdr:colOff>
                    <xdr:row>32</xdr:row>
                    <xdr:rowOff>295275</xdr:rowOff>
                  </to>
                </anchor>
              </controlPr>
            </control>
          </mc:Choice>
        </mc:AlternateContent>
        <mc:AlternateContent xmlns:mc="http://schemas.openxmlformats.org/markup-compatibility/2006">
          <mc:Choice Requires="x14">
            <control shapeId="26688" r:id="rId68" name="Check Box 64">
              <controlPr defaultSize="0" autoFill="0" autoLine="0" autoPict="0">
                <anchor moveWithCells="1">
                  <from>
                    <xdr:col>30</xdr:col>
                    <xdr:colOff>133350</xdr:colOff>
                    <xdr:row>32</xdr:row>
                    <xdr:rowOff>28575</xdr:rowOff>
                  </from>
                  <to>
                    <xdr:col>31</xdr:col>
                    <xdr:colOff>180975</xdr:colOff>
                    <xdr:row>32</xdr:row>
                    <xdr:rowOff>295275</xdr:rowOff>
                  </to>
                </anchor>
              </controlPr>
            </control>
          </mc:Choice>
        </mc:AlternateContent>
        <mc:AlternateContent xmlns:mc="http://schemas.openxmlformats.org/markup-compatibility/2006">
          <mc:Choice Requires="x14">
            <control shapeId="26689" r:id="rId69" name="Check Box 65">
              <controlPr defaultSize="0" autoFill="0" autoLine="0" autoPict="0">
                <anchor moveWithCells="1">
                  <from>
                    <xdr:col>14</xdr:col>
                    <xdr:colOff>133350</xdr:colOff>
                    <xdr:row>32</xdr:row>
                    <xdr:rowOff>28575</xdr:rowOff>
                  </from>
                  <to>
                    <xdr:col>15</xdr:col>
                    <xdr:colOff>180975</xdr:colOff>
                    <xdr:row>32</xdr:row>
                    <xdr:rowOff>295275</xdr:rowOff>
                  </to>
                </anchor>
              </controlPr>
            </control>
          </mc:Choice>
        </mc:AlternateContent>
        <mc:AlternateContent xmlns:mc="http://schemas.openxmlformats.org/markup-compatibility/2006">
          <mc:Choice Requires="x14">
            <control shapeId="26690" r:id="rId70" name="Check Box 66">
              <controlPr defaultSize="0" autoFill="0" autoLine="0" autoPict="0">
                <anchor moveWithCells="1">
                  <from>
                    <xdr:col>23</xdr:col>
                    <xdr:colOff>133350</xdr:colOff>
                    <xdr:row>32</xdr:row>
                    <xdr:rowOff>28575</xdr:rowOff>
                  </from>
                  <to>
                    <xdr:col>24</xdr:col>
                    <xdr:colOff>180975</xdr:colOff>
                    <xdr:row>32</xdr:row>
                    <xdr:rowOff>295275</xdr:rowOff>
                  </to>
                </anchor>
              </controlPr>
            </control>
          </mc:Choice>
        </mc:AlternateContent>
        <mc:AlternateContent xmlns:mc="http://schemas.openxmlformats.org/markup-compatibility/2006">
          <mc:Choice Requires="x14">
            <control shapeId="26691" r:id="rId71" name="Check Box 67">
              <controlPr defaultSize="0" autoFill="0" autoLine="0" autoPict="0">
                <anchor moveWithCells="1">
                  <from>
                    <xdr:col>30</xdr:col>
                    <xdr:colOff>133350</xdr:colOff>
                    <xdr:row>32</xdr:row>
                    <xdr:rowOff>28575</xdr:rowOff>
                  </from>
                  <to>
                    <xdr:col>31</xdr:col>
                    <xdr:colOff>180975</xdr:colOff>
                    <xdr:row>32</xdr:row>
                    <xdr:rowOff>295275</xdr:rowOff>
                  </to>
                </anchor>
              </controlPr>
            </control>
          </mc:Choice>
        </mc:AlternateContent>
        <mc:AlternateContent xmlns:mc="http://schemas.openxmlformats.org/markup-compatibility/2006">
          <mc:Choice Requires="x14">
            <control shapeId="26692" r:id="rId72" name="Check Box 68">
              <controlPr defaultSize="0" autoFill="0" autoLine="0" autoPict="0">
                <anchor moveWithCells="1">
                  <from>
                    <xdr:col>41</xdr:col>
                    <xdr:colOff>133350</xdr:colOff>
                    <xdr:row>32</xdr:row>
                    <xdr:rowOff>28575</xdr:rowOff>
                  </from>
                  <to>
                    <xdr:col>43</xdr:col>
                    <xdr:colOff>28575</xdr:colOff>
                    <xdr:row>32</xdr:row>
                    <xdr:rowOff>295275</xdr:rowOff>
                  </to>
                </anchor>
              </controlPr>
            </control>
          </mc:Choice>
        </mc:AlternateContent>
        <mc:AlternateContent xmlns:mc="http://schemas.openxmlformats.org/markup-compatibility/2006">
          <mc:Choice Requires="x14">
            <control shapeId="26693" r:id="rId73" name="Check Box 69">
              <controlPr defaultSize="0" autoFill="0" autoLine="0" autoPict="0">
                <anchor moveWithCells="1">
                  <from>
                    <xdr:col>14</xdr:col>
                    <xdr:colOff>133350</xdr:colOff>
                    <xdr:row>32</xdr:row>
                    <xdr:rowOff>28575</xdr:rowOff>
                  </from>
                  <to>
                    <xdr:col>15</xdr:col>
                    <xdr:colOff>180975</xdr:colOff>
                    <xdr:row>32</xdr:row>
                    <xdr:rowOff>295275</xdr:rowOff>
                  </to>
                </anchor>
              </controlPr>
            </control>
          </mc:Choice>
        </mc:AlternateContent>
        <mc:AlternateContent xmlns:mc="http://schemas.openxmlformats.org/markup-compatibility/2006">
          <mc:Choice Requires="x14">
            <control shapeId="26694" r:id="rId74" name="Check Box 70">
              <controlPr defaultSize="0" autoFill="0" autoLine="0" autoPict="0">
                <anchor moveWithCells="1">
                  <from>
                    <xdr:col>23</xdr:col>
                    <xdr:colOff>133350</xdr:colOff>
                    <xdr:row>32</xdr:row>
                    <xdr:rowOff>28575</xdr:rowOff>
                  </from>
                  <to>
                    <xdr:col>24</xdr:col>
                    <xdr:colOff>180975</xdr:colOff>
                    <xdr:row>32</xdr:row>
                    <xdr:rowOff>295275</xdr:rowOff>
                  </to>
                </anchor>
              </controlPr>
            </control>
          </mc:Choice>
        </mc:AlternateContent>
        <mc:AlternateContent xmlns:mc="http://schemas.openxmlformats.org/markup-compatibility/2006">
          <mc:Choice Requires="x14">
            <control shapeId="26695" r:id="rId75" name="Check Box 71">
              <controlPr defaultSize="0" autoFill="0" autoLine="0" autoPict="0">
                <anchor moveWithCells="1">
                  <from>
                    <xdr:col>30</xdr:col>
                    <xdr:colOff>133350</xdr:colOff>
                    <xdr:row>32</xdr:row>
                    <xdr:rowOff>28575</xdr:rowOff>
                  </from>
                  <to>
                    <xdr:col>31</xdr:col>
                    <xdr:colOff>180975</xdr:colOff>
                    <xdr:row>32</xdr:row>
                    <xdr:rowOff>295275</xdr:rowOff>
                  </to>
                </anchor>
              </controlPr>
            </control>
          </mc:Choice>
        </mc:AlternateContent>
        <mc:AlternateContent xmlns:mc="http://schemas.openxmlformats.org/markup-compatibility/2006">
          <mc:Choice Requires="x14">
            <control shapeId="26696" r:id="rId76" name="Check Box 72">
              <controlPr defaultSize="0" autoFill="0" autoLine="0" autoPict="0">
                <anchor moveWithCells="1">
                  <from>
                    <xdr:col>11</xdr:col>
                    <xdr:colOff>171450</xdr:colOff>
                    <xdr:row>34</xdr:row>
                    <xdr:rowOff>38100</xdr:rowOff>
                  </from>
                  <to>
                    <xdr:col>12</xdr:col>
                    <xdr:colOff>219075</xdr:colOff>
                    <xdr:row>34</xdr:row>
                    <xdr:rowOff>304800</xdr:rowOff>
                  </to>
                </anchor>
              </controlPr>
            </control>
          </mc:Choice>
        </mc:AlternateContent>
        <mc:AlternateContent xmlns:mc="http://schemas.openxmlformats.org/markup-compatibility/2006">
          <mc:Choice Requires="x14">
            <control shapeId="26697" r:id="rId77" name="Check Box 73">
              <controlPr defaultSize="0" autoFill="0" autoLine="0" autoPict="0">
                <anchor moveWithCells="1">
                  <from>
                    <xdr:col>41</xdr:col>
                    <xdr:colOff>133350</xdr:colOff>
                    <xdr:row>32</xdr:row>
                    <xdr:rowOff>28575</xdr:rowOff>
                  </from>
                  <to>
                    <xdr:col>43</xdr:col>
                    <xdr:colOff>28575</xdr:colOff>
                    <xdr:row>32</xdr:row>
                    <xdr:rowOff>295275</xdr:rowOff>
                  </to>
                </anchor>
              </controlPr>
            </control>
          </mc:Choice>
        </mc:AlternateContent>
        <mc:AlternateContent xmlns:mc="http://schemas.openxmlformats.org/markup-compatibility/2006">
          <mc:Choice Requires="x14">
            <control shapeId="26698" r:id="rId78" name="Check Box 74">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699" r:id="rId79" name="Check Box 75">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700" r:id="rId80" name="Check Box 76">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701" r:id="rId81" name="Check Box 77">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702" r:id="rId82" name="Check Box 78">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703" r:id="rId83" name="Check Box 79">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704" r:id="rId84" name="Check Box 80">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705" r:id="rId85" name="Check Box 81">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706" r:id="rId86" name="Check Box 82">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707" r:id="rId87" name="Check Box 83">
              <controlPr defaultSize="0" autoFill="0" autoLine="0" autoPict="0">
                <anchor moveWithCells="1">
                  <from>
                    <xdr:col>41</xdr:col>
                    <xdr:colOff>133350</xdr:colOff>
                    <xdr:row>45</xdr:row>
                    <xdr:rowOff>28575</xdr:rowOff>
                  </from>
                  <to>
                    <xdr:col>43</xdr:col>
                    <xdr:colOff>28575</xdr:colOff>
                    <xdr:row>45</xdr:row>
                    <xdr:rowOff>295275</xdr:rowOff>
                  </to>
                </anchor>
              </controlPr>
            </control>
          </mc:Choice>
        </mc:AlternateContent>
        <mc:AlternateContent xmlns:mc="http://schemas.openxmlformats.org/markup-compatibility/2006">
          <mc:Choice Requires="x14">
            <control shapeId="26708" r:id="rId88" name="Check Box 84">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709" r:id="rId89" name="Check Box 85">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710" r:id="rId90" name="Check Box 86">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711" r:id="rId91" name="Check Box 87">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712" r:id="rId92" name="Check Box 88">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713" r:id="rId93" name="Check Box 89">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714" r:id="rId94" name="Check Box 90">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715" r:id="rId95" name="Check Box 91">
              <controlPr defaultSize="0" autoFill="0" autoLine="0" autoPict="0">
                <anchor moveWithCells="1">
                  <from>
                    <xdr:col>41</xdr:col>
                    <xdr:colOff>133350</xdr:colOff>
                    <xdr:row>45</xdr:row>
                    <xdr:rowOff>28575</xdr:rowOff>
                  </from>
                  <to>
                    <xdr:col>43</xdr:col>
                    <xdr:colOff>28575</xdr:colOff>
                    <xdr:row>45</xdr:row>
                    <xdr:rowOff>295275</xdr:rowOff>
                  </to>
                </anchor>
              </controlPr>
            </control>
          </mc:Choice>
        </mc:AlternateContent>
        <mc:AlternateContent xmlns:mc="http://schemas.openxmlformats.org/markup-compatibility/2006">
          <mc:Choice Requires="x14">
            <control shapeId="26716" r:id="rId96" name="Check Box 92">
              <controlPr defaultSize="0" autoFill="0" autoLine="0" autoPict="0">
                <anchor moveWithCells="1">
                  <from>
                    <xdr:col>14</xdr:col>
                    <xdr:colOff>133350</xdr:colOff>
                    <xdr:row>45</xdr:row>
                    <xdr:rowOff>28575</xdr:rowOff>
                  </from>
                  <to>
                    <xdr:col>15</xdr:col>
                    <xdr:colOff>180975</xdr:colOff>
                    <xdr:row>45</xdr:row>
                    <xdr:rowOff>295275</xdr:rowOff>
                  </to>
                </anchor>
              </controlPr>
            </control>
          </mc:Choice>
        </mc:AlternateContent>
        <mc:AlternateContent xmlns:mc="http://schemas.openxmlformats.org/markup-compatibility/2006">
          <mc:Choice Requires="x14">
            <control shapeId="26717" r:id="rId97" name="Check Box 93">
              <controlPr defaultSize="0" autoFill="0" autoLine="0" autoPict="0">
                <anchor moveWithCells="1">
                  <from>
                    <xdr:col>23</xdr:col>
                    <xdr:colOff>133350</xdr:colOff>
                    <xdr:row>45</xdr:row>
                    <xdr:rowOff>28575</xdr:rowOff>
                  </from>
                  <to>
                    <xdr:col>24</xdr:col>
                    <xdr:colOff>180975</xdr:colOff>
                    <xdr:row>45</xdr:row>
                    <xdr:rowOff>295275</xdr:rowOff>
                  </to>
                </anchor>
              </controlPr>
            </control>
          </mc:Choice>
        </mc:AlternateContent>
        <mc:AlternateContent xmlns:mc="http://schemas.openxmlformats.org/markup-compatibility/2006">
          <mc:Choice Requires="x14">
            <control shapeId="26718" r:id="rId98" name="Check Box 94">
              <controlPr defaultSize="0" autoFill="0" autoLine="0" autoPict="0">
                <anchor moveWithCells="1">
                  <from>
                    <xdr:col>30</xdr:col>
                    <xdr:colOff>133350</xdr:colOff>
                    <xdr:row>45</xdr:row>
                    <xdr:rowOff>28575</xdr:rowOff>
                  </from>
                  <to>
                    <xdr:col>31</xdr:col>
                    <xdr:colOff>180975</xdr:colOff>
                    <xdr:row>45</xdr:row>
                    <xdr:rowOff>295275</xdr:rowOff>
                  </to>
                </anchor>
              </controlPr>
            </control>
          </mc:Choice>
        </mc:AlternateContent>
        <mc:AlternateContent xmlns:mc="http://schemas.openxmlformats.org/markup-compatibility/2006">
          <mc:Choice Requires="x14">
            <control shapeId="26719" r:id="rId99" name="Check Box 95">
              <controlPr defaultSize="0" autoFill="0" autoLine="0" autoPict="0">
                <anchor moveWithCells="1">
                  <from>
                    <xdr:col>11</xdr:col>
                    <xdr:colOff>171450</xdr:colOff>
                    <xdr:row>47</xdr:row>
                    <xdr:rowOff>38100</xdr:rowOff>
                  </from>
                  <to>
                    <xdr:col>12</xdr:col>
                    <xdr:colOff>219075</xdr:colOff>
                    <xdr:row>47</xdr:row>
                    <xdr:rowOff>304800</xdr:rowOff>
                  </to>
                </anchor>
              </controlPr>
            </control>
          </mc:Choice>
        </mc:AlternateContent>
        <mc:AlternateContent xmlns:mc="http://schemas.openxmlformats.org/markup-compatibility/2006">
          <mc:Choice Requires="x14">
            <control shapeId="26720" r:id="rId100" name="Check Box 96">
              <controlPr defaultSize="0" autoFill="0" autoLine="0" autoPict="0">
                <anchor moveWithCells="1">
                  <from>
                    <xdr:col>41</xdr:col>
                    <xdr:colOff>133350</xdr:colOff>
                    <xdr:row>45</xdr:row>
                    <xdr:rowOff>28575</xdr:rowOff>
                  </from>
                  <to>
                    <xdr:col>43</xdr:col>
                    <xdr:colOff>28575</xdr:colOff>
                    <xdr:row>45</xdr:row>
                    <xdr:rowOff>295275</xdr:rowOff>
                  </to>
                </anchor>
              </controlPr>
            </control>
          </mc:Choice>
        </mc:AlternateContent>
        <mc:AlternateContent xmlns:mc="http://schemas.openxmlformats.org/markup-compatibility/2006">
          <mc:Choice Requires="x14">
            <control shapeId="26721" r:id="rId101" name="Check Box 97">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22" r:id="rId102" name="Check Box 98">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23" r:id="rId103" name="Check Box 99">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24" r:id="rId104" name="Check Box 100">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25" r:id="rId105" name="Check Box 101">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26" r:id="rId106" name="Check Box 102">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27" r:id="rId107" name="Check Box 103">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28" r:id="rId108" name="Check Box 104">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29" r:id="rId109" name="Check Box 105">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30" r:id="rId110" name="Check Box 106">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31" r:id="rId111" name="Check Box 107">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32" r:id="rId112" name="Check Box 108">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33" r:id="rId113" name="Check Box 109">
              <controlPr defaultSize="0" autoFill="0" autoLine="0" autoPict="0">
                <anchor moveWithCells="1">
                  <from>
                    <xdr:col>41</xdr:col>
                    <xdr:colOff>133350</xdr:colOff>
                    <xdr:row>58</xdr:row>
                    <xdr:rowOff>28575</xdr:rowOff>
                  </from>
                  <to>
                    <xdr:col>43</xdr:col>
                    <xdr:colOff>28575</xdr:colOff>
                    <xdr:row>58</xdr:row>
                    <xdr:rowOff>295275</xdr:rowOff>
                  </to>
                </anchor>
              </controlPr>
            </control>
          </mc:Choice>
        </mc:AlternateContent>
        <mc:AlternateContent xmlns:mc="http://schemas.openxmlformats.org/markup-compatibility/2006">
          <mc:Choice Requires="x14">
            <control shapeId="26734" r:id="rId114" name="Check Box 110">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35" r:id="rId115" name="Check Box 111">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36" r:id="rId116" name="Check Box 112">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37" r:id="rId117" name="Check Box 113">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38" r:id="rId118" name="Check Box 114">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39" r:id="rId119" name="Check Box 115">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40" r:id="rId120" name="Check Box 116">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41" r:id="rId121" name="Check Box 117">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42" r:id="rId122" name="Check Box 118">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43" r:id="rId123" name="Check Box 119">
              <controlPr defaultSize="0" autoFill="0" autoLine="0" autoPict="0">
                <anchor moveWithCells="1">
                  <from>
                    <xdr:col>41</xdr:col>
                    <xdr:colOff>133350</xdr:colOff>
                    <xdr:row>58</xdr:row>
                    <xdr:rowOff>28575</xdr:rowOff>
                  </from>
                  <to>
                    <xdr:col>43</xdr:col>
                    <xdr:colOff>28575</xdr:colOff>
                    <xdr:row>58</xdr:row>
                    <xdr:rowOff>295275</xdr:rowOff>
                  </to>
                </anchor>
              </controlPr>
            </control>
          </mc:Choice>
        </mc:AlternateContent>
        <mc:AlternateContent xmlns:mc="http://schemas.openxmlformats.org/markup-compatibility/2006">
          <mc:Choice Requires="x14">
            <control shapeId="26744" r:id="rId124" name="Check Box 120">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45" r:id="rId125" name="Check Box 121">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46" r:id="rId126" name="Check Box 122">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47" r:id="rId127" name="Check Box 123">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48" r:id="rId128" name="Check Box 124">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49" r:id="rId129" name="Check Box 125">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50" r:id="rId130" name="Check Box 126">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51" r:id="rId131" name="Check Box 127">
              <controlPr defaultSize="0" autoFill="0" autoLine="0" autoPict="0">
                <anchor moveWithCells="1">
                  <from>
                    <xdr:col>41</xdr:col>
                    <xdr:colOff>133350</xdr:colOff>
                    <xdr:row>58</xdr:row>
                    <xdr:rowOff>28575</xdr:rowOff>
                  </from>
                  <to>
                    <xdr:col>43</xdr:col>
                    <xdr:colOff>28575</xdr:colOff>
                    <xdr:row>58</xdr:row>
                    <xdr:rowOff>295275</xdr:rowOff>
                  </to>
                </anchor>
              </controlPr>
            </control>
          </mc:Choice>
        </mc:AlternateContent>
        <mc:AlternateContent xmlns:mc="http://schemas.openxmlformats.org/markup-compatibility/2006">
          <mc:Choice Requires="x14">
            <control shapeId="26752" r:id="rId132" name="Check Box 128">
              <controlPr defaultSize="0" autoFill="0" autoLine="0" autoPict="0">
                <anchor moveWithCells="1">
                  <from>
                    <xdr:col>14</xdr:col>
                    <xdr:colOff>133350</xdr:colOff>
                    <xdr:row>58</xdr:row>
                    <xdr:rowOff>28575</xdr:rowOff>
                  </from>
                  <to>
                    <xdr:col>15</xdr:col>
                    <xdr:colOff>180975</xdr:colOff>
                    <xdr:row>58</xdr:row>
                    <xdr:rowOff>295275</xdr:rowOff>
                  </to>
                </anchor>
              </controlPr>
            </control>
          </mc:Choice>
        </mc:AlternateContent>
        <mc:AlternateContent xmlns:mc="http://schemas.openxmlformats.org/markup-compatibility/2006">
          <mc:Choice Requires="x14">
            <control shapeId="26753" r:id="rId133" name="Check Box 129">
              <controlPr defaultSize="0" autoFill="0" autoLine="0" autoPict="0">
                <anchor moveWithCells="1">
                  <from>
                    <xdr:col>23</xdr:col>
                    <xdr:colOff>133350</xdr:colOff>
                    <xdr:row>58</xdr:row>
                    <xdr:rowOff>28575</xdr:rowOff>
                  </from>
                  <to>
                    <xdr:col>24</xdr:col>
                    <xdr:colOff>180975</xdr:colOff>
                    <xdr:row>58</xdr:row>
                    <xdr:rowOff>295275</xdr:rowOff>
                  </to>
                </anchor>
              </controlPr>
            </control>
          </mc:Choice>
        </mc:AlternateContent>
        <mc:AlternateContent xmlns:mc="http://schemas.openxmlformats.org/markup-compatibility/2006">
          <mc:Choice Requires="x14">
            <control shapeId="26754" r:id="rId134" name="Check Box 130">
              <controlPr defaultSize="0" autoFill="0" autoLine="0" autoPict="0">
                <anchor moveWithCells="1">
                  <from>
                    <xdr:col>30</xdr:col>
                    <xdr:colOff>133350</xdr:colOff>
                    <xdr:row>58</xdr:row>
                    <xdr:rowOff>28575</xdr:rowOff>
                  </from>
                  <to>
                    <xdr:col>31</xdr:col>
                    <xdr:colOff>180975</xdr:colOff>
                    <xdr:row>58</xdr:row>
                    <xdr:rowOff>295275</xdr:rowOff>
                  </to>
                </anchor>
              </controlPr>
            </control>
          </mc:Choice>
        </mc:AlternateContent>
        <mc:AlternateContent xmlns:mc="http://schemas.openxmlformats.org/markup-compatibility/2006">
          <mc:Choice Requires="x14">
            <control shapeId="26755" r:id="rId135" name="Check Box 131">
              <controlPr defaultSize="0" autoFill="0" autoLine="0" autoPict="0">
                <anchor moveWithCells="1">
                  <from>
                    <xdr:col>11</xdr:col>
                    <xdr:colOff>171450</xdr:colOff>
                    <xdr:row>60</xdr:row>
                    <xdr:rowOff>38100</xdr:rowOff>
                  </from>
                  <to>
                    <xdr:col>12</xdr:col>
                    <xdr:colOff>219075</xdr:colOff>
                    <xdr:row>61</xdr:row>
                    <xdr:rowOff>104775</xdr:rowOff>
                  </to>
                </anchor>
              </controlPr>
            </control>
          </mc:Choice>
        </mc:AlternateContent>
        <mc:AlternateContent xmlns:mc="http://schemas.openxmlformats.org/markup-compatibility/2006">
          <mc:Choice Requires="x14">
            <control shapeId="26756" r:id="rId136" name="Check Box 132">
              <controlPr defaultSize="0" autoFill="0" autoLine="0" autoPict="0">
                <anchor moveWithCells="1">
                  <from>
                    <xdr:col>41</xdr:col>
                    <xdr:colOff>133350</xdr:colOff>
                    <xdr:row>58</xdr:row>
                    <xdr:rowOff>28575</xdr:rowOff>
                  </from>
                  <to>
                    <xdr:col>43</xdr:col>
                    <xdr:colOff>28575</xdr:colOff>
                    <xdr:row>58</xdr:row>
                    <xdr:rowOff>295275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BS45"/>
  <sheetViews>
    <sheetView showGridLines="0" view="pageBreakPreview" zoomScale="80" zoomScaleNormal="100" zoomScaleSheetLayoutView="80" workbookViewId="0">
      <selection activeCell="AM17" sqref="AM17"/>
    </sheetView>
  </sheetViews>
  <sheetFormatPr baseColWidth="10" defaultColWidth="11.42578125" defaultRowHeight="12.75" x14ac:dyDescent="0.2"/>
  <cols>
    <col min="1" max="1" width="2.5703125" customWidth="1"/>
    <col min="2" max="2" width="2.140625" customWidth="1"/>
    <col min="3" max="3" width="3.140625" bestFit="1" customWidth="1"/>
    <col min="4" max="4" width="1.7109375" customWidth="1"/>
    <col min="5" max="7" width="3.7109375" customWidth="1"/>
    <col min="8" max="8" width="4.42578125" customWidth="1"/>
    <col min="9" max="9" width="1.7109375" customWidth="1"/>
    <col min="10" max="10" width="3.42578125" customWidth="1"/>
    <col min="11" max="11" width="3.85546875" customWidth="1"/>
    <col min="12" max="14" width="3.7109375" customWidth="1"/>
    <col min="15" max="15" width="1.7109375" customWidth="1"/>
    <col min="16" max="19" width="3.7109375" customWidth="1"/>
    <col min="20" max="20" width="1.7109375" customWidth="1"/>
    <col min="21" max="33" width="3.7109375" customWidth="1"/>
    <col min="34" max="34" width="1.42578125" customWidth="1"/>
    <col min="35" max="38" width="3.7109375" customWidth="1"/>
    <col min="39" max="39" width="1.28515625" customWidth="1"/>
    <col min="40" max="43" width="3.7109375" customWidth="1"/>
    <col min="44" max="44" width="2.42578125" customWidth="1"/>
    <col min="45" max="48" width="3.7109375" customWidth="1"/>
    <col min="49" max="49" width="2.42578125" customWidth="1"/>
    <col min="50" max="65" width="3.7109375" customWidth="1"/>
    <col min="66" max="71" width="3.42578125" customWidth="1"/>
    <col min="72" max="128" width="3.7109375" customWidth="1"/>
  </cols>
  <sheetData>
    <row r="1" spans="3:71" ht="14.45" customHeight="1" x14ac:dyDescent="0.45">
      <c r="AO1" s="479"/>
      <c r="AP1" s="479"/>
      <c r="AQ1" s="479"/>
      <c r="AR1" s="479"/>
      <c r="AS1" s="479"/>
      <c r="AT1" s="479"/>
      <c r="AU1" s="479"/>
      <c r="AV1" s="479"/>
    </row>
    <row r="2" spans="3:71" ht="57.6" customHeight="1" x14ac:dyDescent="0.2">
      <c r="N2" s="370" t="s">
        <v>150</v>
      </c>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2"/>
    </row>
    <row r="5" spans="3:71" s="9" customFormat="1" ht="25.5" customHeight="1" x14ac:dyDescent="0.2">
      <c r="C5" s="103" t="s">
        <v>261</v>
      </c>
      <c r="D5" s="103"/>
      <c r="E5" s="103"/>
      <c r="F5" s="103"/>
      <c r="G5" s="103"/>
      <c r="H5" s="103"/>
      <c r="I5" s="103"/>
      <c r="J5" s="79"/>
      <c r="K5" s="79"/>
      <c r="L5" s="79"/>
      <c r="M5" s="79"/>
      <c r="N5" s="79"/>
      <c r="P5" s="79"/>
      <c r="Q5" s="79"/>
      <c r="R5" s="79"/>
      <c r="S5" s="79"/>
      <c r="U5" s="79"/>
      <c r="V5" s="79"/>
      <c r="W5" s="79"/>
      <c r="X5" s="79"/>
      <c r="Y5" s="79"/>
      <c r="Z5" s="79"/>
      <c r="AA5" s="79"/>
      <c r="AB5" s="79"/>
      <c r="AD5" s="474"/>
      <c r="AE5" s="474"/>
      <c r="AF5" s="474"/>
      <c r="AG5" s="474"/>
      <c r="AI5" s="475"/>
      <c r="AJ5" s="474"/>
      <c r="AK5" s="474"/>
      <c r="AL5" s="474"/>
      <c r="AN5" s="476"/>
      <c r="AO5" s="474"/>
      <c r="AP5" s="474"/>
      <c r="AQ5" s="474"/>
      <c r="AS5" s="477"/>
      <c r="AT5" s="477"/>
      <c r="AU5" s="477"/>
      <c r="AV5" s="477"/>
      <c r="AX5" s="66"/>
      <c r="AY5" s="66"/>
      <c r="AZ5" s="66"/>
      <c r="BA5" s="66"/>
      <c r="BB5" s="66"/>
      <c r="BC5" s="66"/>
      <c r="BD5" s="66"/>
      <c r="BE5" s="66"/>
      <c r="BF5" s="66"/>
      <c r="BG5" s="66"/>
      <c r="BH5" s="66"/>
      <c r="BI5" s="66"/>
      <c r="BJ5" s="66"/>
      <c r="BK5" s="66"/>
      <c r="BL5" s="66"/>
      <c r="BM5" s="66"/>
      <c r="BN5" s="66"/>
      <c r="BO5" s="66"/>
      <c r="BP5" s="66"/>
      <c r="BQ5" s="66"/>
      <c r="BR5" s="66"/>
      <c r="BS5" s="66"/>
    </row>
    <row r="6" spans="3:71" s="9" customFormat="1" ht="11.45" customHeight="1" x14ac:dyDescent="0.2">
      <c r="C6" s="464"/>
      <c r="D6" s="464"/>
      <c r="E6" s="464"/>
      <c r="F6" s="464"/>
      <c r="G6" s="464"/>
      <c r="H6" s="464"/>
      <c r="I6" s="464"/>
      <c r="J6" s="79"/>
      <c r="K6" s="79"/>
      <c r="L6" s="79"/>
      <c r="M6" s="79"/>
      <c r="N6" s="79"/>
      <c r="P6" s="79"/>
      <c r="Q6" s="79"/>
      <c r="R6" s="79"/>
      <c r="S6" s="79"/>
      <c r="U6" s="79"/>
      <c r="V6" s="79"/>
      <c r="W6" s="79"/>
      <c r="X6" s="79"/>
      <c r="Y6" s="79"/>
      <c r="Z6" s="79"/>
      <c r="AA6" s="79"/>
      <c r="AB6" s="79"/>
      <c r="AS6" s="98"/>
      <c r="AT6" s="98"/>
      <c r="AU6" s="98"/>
      <c r="AV6" s="98"/>
    </row>
    <row r="7" spans="3:71" s="9" customFormat="1" ht="26.25" customHeight="1" x14ac:dyDescent="0.2">
      <c r="C7" s="483" t="s">
        <v>262</v>
      </c>
      <c r="D7" s="483"/>
      <c r="E7" s="483"/>
      <c r="F7" s="483"/>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66"/>
      <c r="AY7" s="66"/>
      <c r="AZ7" s="66"/>
      <c r="BA7" s="66"/>
      <c r="BB7" s="66"/>
      <c r="BC7" s="66"/>
      <c r="BD7" s="66"/>
      <c r="BE7" s="66"/>
      <c r="BF7" s="66"/>
      <c r="BG7" s="66"/>
      <c r="BH7" s="66"/>
      <c r="BI7" s="66"/>
      <c r="BJ7" s="66"/>
      <c r="BK7" s="66"/>
      <c r="BL7" s="66"/>
      <c r="BM7" s="66"/>
      <c r="BN7" s="66"/>
      <c r="BO7" s="66"/>
      <c r="BP7" s="66"/>
      <c r="BQ7" s="66"/>
      <c r="BR7" s="66"/>
      <c r="BS7" s="66"/>
    </row>
    <row r="8" spans="3:71" s="6" customFormat="1" ht="13.5" customHeight="1" x14ac:dyDescent="0.2">
      <c r="C8" s="464"/>
      <c r="D8" s="464"/>
      <c r="E8" s="464"/>
      <c r="F8" s="464"/>
      <c r="G8" s="464"/>
      <c r="H8" s="464"/>
      <c r="I8" s="464"/>
      <c r="J8" s="102"/>
      <c r="K8" s="102"/>
      <c r="L8" s="102"/>
      <c r="M8" s="102"/>
      <c r="N8" s="102"/>
      <c r="O8" s="10"/>
      <c r="P8" s="473"/>
      <c r="Q8" s="473"/>
      <c r="R8" s="473"/>
      <c r="S8" s="473"/>
      <c r="U8" s="473"/>
      <c r="V8" s="473"/>
      <c r="W8" s="473"/>
      <c r="X8" s="473"/>
      <c r="Y8" s="473"/>
      <c r="Z8" s="473"/>
      <c r="AA8" s="473"/>
      <c r="AB8" s="473"/>
      <c r="AD8" s="465"/>
      <c r="AE8" s="465"/>
      <c r="AF8" s="465"/>
      <c r="AG8" s="465"/>
      <c r="AH8" s="7"/>
      <c r="AI8" s="465"/>
      <c r="AJ8" s="465"/>
      <c r="AK8" s="465"/>
      <c r="AL8" s="465"/>
      <c r="AN8" s="465"/>
      <c r="AO8" s="465"/>
      <c r="AP8" s="465"/>
      <c r="AQ8" s="465"/>
      <c r="AS8" s="466"/>
      <c r="AT8" s="466"/>
      <c r="AU8" s="466"/>
      <c r="AV8" s="466"/>
      <c r="AX8" s="85"/>
      <c r="AY8" s="85"/>
      <c r="AZ8" s="85"/>
      <c r="BA8" s="85"/>
      <c r="BB8" s="86"/>
      <c r="BC8" s="86"/>
      <c r="BD8" s="86"/>
      <c r="BE8" s="86"/>
      <c r="BF8" s="86"/>
      <c r="BG8" s="86"/>
      <c r="BH8" s="86"/>
      <c r="BI8" s="86"/>
      <c r="BJ8" s="86"/>
      <c r="BK8" s="86"/>
      <c r="BL8" s="86"/>
      <c r="BM8" s="86"/>
      <c r="BN8" s="86"/>
      <c r="BO8" s="86"/>
      <c r="BP8" s="86"/>
      <c r="BQ8" s="86"/>
      <c r="BR8" s="86"/>
      <c r="BS8" s="86"/>
    </row>
    <row r="9" spans="3:71" s="6" customFormat="1" ht="12" x14ac:dyDescent="0.2">
      <c r="C9" s="78"/>
      <c r="D9" s="10"/>
      <c r="E9" s="480"/>
      <c r="F9" s="480"/>
      <c r="G9" s="480"/>
      <c r="H9" s="480"/>
      <c r="I9" s="480"/>
      <c r="J9" s="480"/>
      <c r="K9" s="480"/>
      <c r="L9" s="480"/>
      <c r="M9" s="480"/>
      <c r="N9" s="480"/>
      <c r="O9" s="10"/>
      <c r="P9" s="473"/>
      <c r="Q9" s="473"/>
      <c r="R9" s="473"/>
      <c r="S9" s="473"/>
      <c r="U9" s="473"/>
      <c r="V9" s="473"/>
      <c r="W9" s="473"/>
      <c r="X9" s="473"/>
      <c r="Y9" s="473"/>
      <c r="Z9" s="473"/>
      <c r="AA9" s="473"/>
      <c r="AB9" s="473"/>
      <c r="AD9" s="465"/>
      <c r="AE9" s="465"/>
      <c r="AF9" s="465"/>
      <c r="AG9" s="465"/>
      <c r="AH9" s="7"/>
      <c r="AI9" s="465"/>
      <c r="AJ9" s="465"/>
      <c r="AK9" s="465"/>
      <c r="AL9" s="465"/>
      <c r="AN9" s="465"/>
      <c r="AO9" s="465"/>
      <c r="AP9" s="465"/>
      <c r="AQ9" s="465"/>
      <c r="AS9" s="466"/>
      <c r="AT9" s="466"/>
      <c r="AU9" s="466"/>
      <c r="AV9" s="466"/>
      <c r="AX9" s="85"/>
      <c r="AY9" s="85"/>
      <c r="AZ9" s="85"/>
      <c r="BA9" s="85"/>
      <c r="BB9" s="86"/>
      <c r="BC9" s="86"/>
      <c r="BD9" s="86"/>
      <c r="BE9" s="86"/>
      <c r="BF9" s="86"/>
      <c r="BG9" s="86"/>
      <c r="BH9" s="86"/>
      <c r="BI9" s="86"/>
      <c r="BJ9" s="86"/>
      <c r="BK9" s="86"/>
      <c r="BL9" s="86"/>
      <c r="BM9" s="86"/>
      <c r="BN9" s="86"/>
      <c r="BO9" s="86"/>
      <c r="BP9" s="86"/>
      <c r="BQ9" s="86"/>
      <c r="BR9" s="86"/>
      <c r="BS9" s="86"/>
    </row>
    <row r="10" spans="3:71" s="6" customFormat="1" ht="26.25" customHeight="1" x14ac:dyDescent="0.2">
      <c r="C10" s="103" t="s">
        <v>87</v>
      </c>
      <c r="D10" s="103"/>
      <c r="E10" s="103"/>
      <c r="F10" s="103"/>
      <c r="G10" s="103"/>
      <c r="H10" s="103"/>
      <c r="I10" s="103"/>
      <c r="J10" s="79"/>
      <c r="K10" s="79"/>
      <c r="L10" s="79"/>
      <c r="M10" s="79"/>
      <c r="N10" s="79"/>
      <c r="O10" s="9"/>
      <c r="P10" s="79"/>
      <c r="Q10" s="79"/>
      <c r="R10" s="79"/>
      <c r="S10" s="79"/>
      <c r="T10" s="9"/>
      <c r="U10" s="79"/>
      <c r="V10" s="79"/>
      <c r="W10" s="79"/>
      <c r="X10" s="79"/>
      <c r="Y10" s="79"/>
      <c r="Z10" s="79"/>
      <c r="AA10" s="79"/>
      <c r="AB10" s="79"/>
      <c r="AC10" s="9"/>
      <c r="AD10" s="474"/>
      <c r="AE10" s="474"/>
      <c r="AF10" s="474"/>
      <c r="AG10" s="474"/>
      <c r="AH10" s="9"/>
      <c r="AI10" s="475"/>
      <c r="AJ10" s="474"/>
      <c r="AK10" s="474"/>
      <c r="AL10" s="474"/>
      <c r="AM10" s="9"/>
      <c r="AN10" s="476"/>
      <c r="AO10" s="474"/>
      <c r="AP10" s="474"/>
      <c r="AQ10" s="474"/>
      <c r="AR10" s="9"/>
      <c r="AS10" s="477"/>
      <c r="AT10" s="477"/>
      <c r="AU10" s="477"/>
      <c r="AV10" s="477"/>
      <c r="AW10" s="9"/>
      <c r="AX10" s="85"/>
      <c r="AY10" s="85"/>
      <c r="AZ10" s="85"/>
      <c r="BA10" s="85"/>
      <c r="BB10" s="85"/>
      <c r="BC10" s="85"/>
      <c r="BD10" s="85"/>
      <c r="BE10" s="85"/>
      <c r="BF10" s="85"/>
      <c r="BG10" s="85"/>
      <c r="BH10" s="85"/>
      <c r="BI10" s="85"/>
      <c r="BJ10" s="85"/>
      <c r="BK10" s="85"/>
      <c r="BL10" s="85"/>
      <c r="BM10" s="85"/>
      <c r="BN10" s="85"/>
      <c r="BO10" s="85"/>
      <c r="BP10" s="85"/>
      <c r="BQ10" s="85"/>
      <c r="BR10" s="85"/>
      <c r="BS10" s="85"/>
    </row>
    <row r="11" spans="3:71" s="6" customFormat="1" ht="25.5" customHeight="1" x14ac:dyDescent="0.2">
      <c r="C11" s="104" t="s">
        <v>96</v>
      </c>
      <c r="D11" s="104"/>
      <c r="E11" s="104"/>
      <c r="F11" s="104"/>
      <c r="G11" s="104"/>
      <c r="H11" s="104"/>
      <c r="I11" s="104"/>
      <c r="J11" s="2"/>
      <c r="K11" s="99"/>
      <c r="L11" s="79"/>
      <c r="M11" s="79"/>
      <c r="N11" s="79"/>
      <c r="O11" s="9"/>
      <c r="P11" s="79"/>
      <c r="Q11" s="79"/>
      <c r="R11" s="2"/>
      <c r="S11" s="100"/>
      <c r="T11" s="9"/>
      <c r="U11" s="79"/>
      <c r="V11" s="79"/>
      <c r="W11" s="79"/>
      <c r="X11" s="79"/>
      <c r="Y11" s="79"/>
      <c r="Z11" s="79"/>
      <c r="AA11" s="2"/>
      <c r="AB11" s="100"/>
      <c r="AC11" s="9"/>
      <c r="AD11" s="79"/>
      <c r="AE11" s="79"/>
      <c r="AF11" s="79"/>
      <c r="AG11" s="79"/>
      <c r="AH11" s="9"/>
      <c r="AI11" s="2"/>
      <c r="AJ11" s="100"/>
      <c r="AK11" s="79"/>
      <c r="AL11" s="79"/>
      <c r="AM11" s="9"/>
      <c r="AN11" s="79"/>
      <c r="AO11" s="79"/>
      <c r="AP11" s="79"/>
      <c r="AQ11" s="79"/>
      <c r="AR11" s="9"/>
      <c r="AS11" s="101"/>
      <c r="AT11" s="101"/>
      <c r="AU11" s="101"/>
      <c r="AV11" s="101"/>
      <c r="AW11" s="9"/>
      <c r="AX11" s="85"/>
      <c r="AY11" s="85"/>
      <c r="AZ11" s="85"/>
      <c r="BA11" s="85"/>
      <c r="BB11" s="85"/>
      <c r="BC11" s="85"/>
      <c r="BD11" s="85"/>
      <c r="BE11" s="85"/>
      <c r="BF11" s="85"/>
      <c r="BG11" s="85"/>
      <c r="BH11" s="85"/>
      <c r="BI11" s="85"/>
      <c r="BJ11" s="85"/>
      <c r="BK11" s="85"/>
      <c r="BL11" s="85"/>
      <c r="BM11" s="85"/>
      <c r="BN11" s="85"/>
      <c r="BO11" s="85"/>
      <c r="BP11" s="85"/>
      <c r="BQ11" s="85"/>
      <c r="BR11" s="85"/>
      <c r="BS11" s="85"/>
    </row>
    <row r="12" spans="3:71" s="6" customFormat="1" ht="29.1" customHeight="1" x14ac:dyDescent="0.2">
      <c r="C12" s="104" t="s">
        <v>95</v>
      </c>
      <c r="D12" s="100"/>
      <c r="E12" s="100"/>
      <c r="F12" s="100"/>
      <c r="G12" s="100"/>
      <c r="H12" s="100"/>
      <c r="I12" s="100"/>
      <c r="P12" s="478"/>
      <c r="Q12" s="478"/>
      <c r="R12" s="478"/>
      <c r="S12" s="478"/>
      <c r="T12" s="478"/>
      <c r="U12" s="478"/>
      <c r="V12" s="478"/>
      <c r="W12" s="478"/>
      <c r="X12" s="478"/>
      <c r="Y12" s="478"/>
      <c r="Z12" s="478"/>
      <c r="AA12" s="478"/>
      <c r="AB12" s="478"/>
      <c r="AC12" s="478"/>
      <c r="AD12" s="478"/>
      <c r="AE12" s="478"/>
      <c r="AF12" s="478"/>
      <c r="AG12" s="478"/>
      <c r="AN12"/>
      <c r="AX12" s="85"/>
      <c r="AY12" s="85"/>
      <c r="AZ12" s="85"/>
      <c r="BA12" s="85"/>
      <c r="BB12" s="86"/>
      <c r="BC12" s="86"/>
      <c r="BD12" s="86"/>
      <c r="BE12" s="86"/>
      <c r="BF12" s="86"/>
      <c r="BG12" s="86"/>
      <c r="BH12" s="86"/>
      <c r="BI12" s="86"/>
      <c r="BJ12" s="86"/>
      <c r="BK12" s="86"/>
      <c r="BL12" s="86"/>
      <c r="BM12" s="86"/>
      <c r="BN12" s="86"/>
      <c r="BO12" s="86"/>
      <c r="BP12" s="86"/>
      <c r="BQ12" s="86"/>
      <c r="BR12" s="86"/>
      <c r="BS12" s="86"/>
    </row>
    <row r="13" spans="3:71" s="6" customFormat="1" ht="12.95" customHeight="1" x14ac:dyDescent="0.2">
      <c r="C13" s="100"/>
      <c r="D13" s="100"/>
      <c r="E13" s="100"/>
      <c r="F13" s="100"/>
      <c r="G13" s="100"/>
      <c r="H13" s="100"/>
      <c r="I13" s="100"/>
      <c r="AN13"/>
      <c r="AX13" s="85"/>
      <c r="AY13" s="85"/>
      <c r="AZ13" s="85"/>
      <c r="BA13" s="85"/>
      <c r="BB13" s="85"/>
      <c r="BC13" s="85"/>
      <c r="BD13" s="85"/>
      <c r="BE13" s="85"/>
      <c r="BF13" s="85"/>
      <c r="BG13" s="85"/>
      <c r="BH13" s="85"/>
      <c r="BI13" s="85"/>
      <c r="BJ13" s="85"/>
      <c r="BK13" s="85"/>
      <c r="BL13" s="85"/>
      <c r="BM13" s="85"/>
      <c r="BN13" s="85"/>
      <c r="BO13" s="85"/>
      <c r="BP13" s="85"/>
      <c r="BQ13" s="85"/>
      <c r="BR13" s="85"/>
      <c r="BS13" s="85"/>
    </row>
    <row r="14" spans="3:71" s="6" customFormat="1" ht="25.5" customHeight="1" x14ac:dyDescent="0.2">
      <c r="C14" s="103" t="s">
        <v>88</v>
      </c>
      <c r="D14" s="103"/>
      <c r="E14" s="103"/>
      <c r="F14" s="103"/>
      <c r="G14" s="103"/>
      <c r="H14" s="103"/>
      <c r="I14" s="103"/>
      <c r="J14" s="102"/>
      <c r="K14" s="102"/>
      <c r="L14" s="102"/>
      <c r="M14" s="102"/>
      <c r="N14" s="102"/>
      <c r="O14" s="10"/>
      <c r="P14" s="27"/>
      <c r="Q14" s="27"/>
      <c r="R14" s="27"/>
      <c r="S14" s="27"/>
      <c r="U14" s="473"/>
      <c r="V14" s="473"/>
      <c r="W14" s="473"/>
      <c r="X14" s="473"/>
      <c r="Y14" s="473"/>
      <c r="Z14" s="473"/>
      <c r="AA14" s="473"/>
      <c r="AB14" s="473"/>
      <c r="AD14" s="465"/>
      <c r="AE14" s="465"/>
      <c r="AF14" s="465"/>
      <c r="AG14" s="465"/>
      <c r="AH14" s="7"/>
      <c r="AI14" s="465"/>
      <c r="AJ14" s="465"/>
      <c r="AK14" s="465"/>
      <c r="AL14" s="465"/>
      <c r="AN14" s="465"/>
      <c r="AO14" s="465"/>
      <c r="AP14" s="465"/>
      <c r="AQ14" s="465"/>
      <c r="AS14" s="466"/>
      <c r="AT14" s="466"/>
      <c r="AU14" s="466"/>
      <c r="AV14" s="466"/>
      <c r="AX14" s="85"/>
      <c r="AY14" s="85"/>
      <c r="AZ14" s="85"/>
      <c r="BA14" s="85"/>
      <c r="BB14" s="85"/>
      <c r="BC14" s="85"/>
      <c r="BD14" s="85"/>
      <c r="BE14" s="85"/>
      <c r="BF14" s="85"/>
      <c r="BG14" s="85"/>
      <c r="BH14" s="85"/>
      <c r="BI14" s="85"/>
      <c r="BJ14" s="85"/>
      <c r="BK14" s="85"/>
      <c r="BL14" s="85"/>
      <c r="BM14" s="85"/>
      <c r="BN14" s="85"/>
      <c r="BO14" s="85"/>
      <c r="BP14" s="85"/>
      <c r="BQ14" s="85"/>
      <c r="BR14" s="85"/>
      <c r="BS14" s="85"/>
    </row>
    <row r="15" spans="3:71" s="6" customFormat="1" ht="18.95" customHeight="1" x14ac:dyDescent="0.2">
      <c r="C15" s="82" t="s">
        <v>99</v>
      </c>
      <c r="D15" s="10"/>
      <c r="E15" s="102"/>
      <c r="F15" s="102"/>
      <c r="G15" s="102"/>
      <c r="H15" s="102"/>
      <c r="I15" s="102"/>
      <c r="J15" s="102"/>
      <c r="K15" s="102"/>
      <c r="L15" s="102"/>
      <c r="M15" s="102"/>
      <c r="N15" s="102"/>
      <c r="O15" s="10"/>
      <c r="P15" s="27"/>
      <c r="Q15" s="27"/>
      <c r="R15" s="27"/>
      <c r="S15" s="27"/>
      <c r="U15" s="27"/>
      <c r="V15" s="27"/>
      <c r="W15" s="27"/>
      <c r="X15" s="27"/>
      <c r="Y15" s="27"/>
      <c r="Z15" s="27"/>
      <c r="AA15" s="27"/>
      <c r="AB15" s="27"/>
      <c r="AD15" s="105"/>
      <c r="AE15" s="105"/>
      <c r="AF15" s="105"/>
      <c r="AG15" s="105"/>
      <c r="AH15" s="7"/>
      <c r="AI15" s="105"/>
      <c r="AJ15" s="105"/>
      <c r="AK15" s="105"/>
      <c r="AL15" s="105"/>
      <c r="AN15" s="105"/>
      <c r="AO15" s="105"/>
      <c r="AP15" s="105"/>
      <c r="AQ15" s="105"/>
      <c r="AS15" s="466"/>
      <c r="AT15" s="466"/>
      <c r="AU15" s="466"/>
      <c r="AV15" s="466"/>
      <c r="AX15" s="85"/>
      <c r="AY15" s="85"/>
      <c r="AZ15" s="85"/>
      <c r="BA15" s="85"/>
      <c r="BB15" s="86"/>
      <c r="BC15" s="86"/>
      <c r="BD15" s="86"/>
      <c r="BE15" s="86"/>
      <c r="BF15" s="86"/>
      <c r="BG15" s="86"/>
      <c r="BH15" s="86"/>
      <c r="BI15" s="86"/>
      <c r="BJ15" s="86"/>
      <c r="BK15" s="86"/>
      <c r="BL15" s="86"/>
      <c r="BM15" s="86"/>
      <c r="BN15" s="86"/>
      <c r="BO15" s="86"/>
      <c r="BP15" s="86"/>
      <c r="BQ15" s="86"/>
      <c r="BR15" s="86"/>
      <c r="BS15" s="86"/>
    </row>
    <row r="16" spans="3:71" s="6" customFormat="1" ht="16.5" customHeight="1" x14ac:dyDescent="0.2">
      <c r="C16" s="78"/>
      <c r="D16" s="10"/>
      <c r="O16" s="10"/>
      <c r="AD16" s="85"/>
      <c r="AE16" s="85"/>
      <c r="AF16" s="85"/>
      <c r="AG16" s="85"/>
      <c r="AH16" s="7"/>
      <c r="AI16" s="85"/>
      <c r="AJ16" s="85"/>
      <c r="AK16" s="85"/>
      <c r="AL16" s="85"/>
      <c r="AN16" s="85"/>
      <c r="AO16" s="85"/>
      <c r="AP16" s="85"/>
      <c r="AQ16" s="85"/>
      <c r="AS16" s="85"/>
      <c r="AT16" s="85"/>
      <c r="AU16" s="85"/>
      <c r="AV16" s="85"/>
      <c r="AX16" s="85"/>
      <c r="AY16" s="85"/>
      <c r="AZ16" s="85"/>
      <c r="BA16" s="85"/>
      <c r="BB16" s="85"/>
      <c r="BC16" s="85"/>
      <c r="BD16" s="85"/>
      <c r="BE16" s="85"/>
      <c r="BF16" s="85"/>
      <c r="BG16" s="85"/>
      <c r="BH16" s="85"/>
      <c r="BI16" s="85"/>
      <c r="BJ16" s="85"/>
      <c r="BK16" s="85"/>
      <c r="BL16" s="85"/>
      <c r="BM16" s="85"/>
      <c r="BN16" s="85"/>
      <c r="BO16" s="85"/>
      <c r="BP16" s="85"/>
      <c r="BQ16" s="85"/>
      <c r="BR16" s="85"/>
      <c r="BS16" s="85"/>
    </row>
    <row r="17" spans="2:71" s="6" customFormat="1" ht="27" customHeight="1" x14ac:dyDescent="0.35">
      <c r="B17" s="82" t="s">
        <v>69</v>
      </c>
      <c r="C17" s="481"/>
      <c r="D17" s="481"/>
      <c r="E17" s="481"/>
      <c r="F17" s="481"/>
      <c r="G17" s="106" t="s">
        <v>89</v>
      </c>
      <c r="H17" s="107" t="s">
        <v>100</v>
      </c>
      <c r="I17" s="102"/>
      <c r="J17" s="102"/>
      <c r="K17" s="102"/>
      <c r="L17" s="102"/>
      <c r="M17" s="102"/>
      <c r="N17" s="102"/>
      <c r="O17" s="10"/>
      <c r="P17" s="478" t="s">
        <v>263</v>
      </c>
      <c r="Q17" s="478"/>
      <c r="R17" s="478"/>
      <c r="S17" s="478"/>
      <c r="T17" s="478"/>
      <c r="U17" s="478"/>
      <c r="V17" s="478"/>
      <c r="W17" s="478"/>
      <c r="X17" s="478"/>
      <c r="Y17" s="478"/>
      <c r="Z17" s="478"/>
      <c r="AA17" s="478"/>
      <c r="AB17" s="478"/>
      <c r="AC17" s="478"/>
      <c r="AD17" s="478"/>
      <c r="AE17" s="478"/>
      <c r="AF17" s="478"/>
      <c r="AG17" s="478"/>
      <c r="AH17" s="7"/>
      <c r="AI17" s="465"/>
      <c r="AJ17" s="465"/>
      <c r="AK17" s="465"/>
      <c r="AL17" s="465"/>
      <c r="AN17" s="465"/>
      <c r="AO17" s="465"/>
      <c r="AP17" s="465"/>
      <c r="AQ17" s="465"/>
      <c r="AS17" s="466"/>
      <c r="AT17" s="466"/>
      <c r="AU17" s="466"/>
      <c r="AV17" s="466"/>
      <c r="AX17" s="85"/>
      <c r="AY17" s="85"/>
      <c r="AZ17" s="85"/>
      <c r="BA17" s="85"/>
      <c r="BB17" s="86"/>
      <c r="BC17" s="86"/>
      <c r="BD17" s="86"/>
      <c r="BE17" s="86"/>
      <c r="BF17" s="86"/>
      <c r="BG17" s="86"/>
      <c r="BH17" s="86"/>
      <c r="BI17" s="86"/>
      <c r="BJ17" s="86"/>
      <c r="BK17" s="86"/>
      <c r="BL17" s="86"/>
      <c r="BM17" s="86"/>
      <c r="BN17" s="86"/>
      <c r="BO17" s="86"/>
      <c r="BP17" s="86"/>
      <c r="BQ17" s="86"/>
      <c r="BR17" s="86"/>
      <c r="BS17" s="86"/>
    </row>
    <row r="18" spans="2:71" s="6" customFormat="1" ht="15.95" customHeight="1" x14ac:dyDescent="0.2">
      <c r="C18" s="78"/>
      <c r="D18" s="10"/>
      <c r="E18" s="480"/>
      <c r="F18" s="480"/>
      <c r="G18" s="480"/>
      <c r="H18" s="480"/>
      <c r="I18" s="480"/>
      <c r="J18" s="480"/>
      <c r="K18" s="480"/>
      <c r="L18" s="480"/>
      <c r="M18" s="480"/>
      <c r="N18" s="480"/>
      <c r="O18" s="10"/>
      <c r="P18" s="473"/>
      <c r="Q18" s="473"/>
      <c r="R18" s="473"/>
      <c r="S18" s="473"/>
      <c r="U18" s="473"/>
      <c r="V18" s="473"/>
      <c r="W18" s="473"/>
      <c r="X18" s="473"/>
      <c r="Y18" s="473"/>
      <c r="Z18" s="473"/>
      <c r="AA18" s="473"/>
      <c r="AB18" s="473"/>
      <c r="AD18" s="465"/>
      <c r="AE18" s="465"/>
      <c r="AF18" s="465"/>
      <c r="AG18" s="465"/>
      <c r="AH18" s="7"/>
      <c r="AI18" s="465"/>
      <c r="AJ18" s="465"/>
      <c r="AK18" s="465"/>
      <c r="AL18" s="465"/>
      <c r="AN18" s="465"/>
      <c r="AO18" s="465"/>
      <c r="AP18" s="465"/>
      <c r="AQ18" s="465"/>
      <c r="AS18" s="466"/>
      <c r="AT18" s="466"/>
      <c r="AU18" s="466"/>
      <c r="AV18" s="466"/>
      <c r="AX18" s="85"/>
      <c r="AY18" s="85"/>
      <c r="AZ18" s="85"/>
      <c r="BA18" s="85"/>
      <c r="BB18" s="86"/>
      <c r="BC18" s="86"/>
      <c r="BD18" s="86"/>
      <c r="BE18" s="86"/>
      <c r="BF18" s="86"/>
      <c r="BG18" s="86"/>
      <c r="BH18" s="86"/>
      <c r="BI18" s="86"/>
      <c r="BJ18" s="86"/>
      <c r="BK18" s="86"/>
      <c r="BL18" s="86"/>
      <c r="BM18" s="86"/>
      <c r="BN18" s="86"/>
      <c r="BO18" s="86"/>
      <c r="BP18" s="86"/>
      <c r="BQ18" s="86"/>
      <c r="BR18" s="86"/>
      <c r="BS18" s="86"/>
    </row>
    <row r="19" spans="2:71" s="6" customFormat="1" ht="25.5" customHeight="1" x14ac:dyDescent="0.35">
      <c r="B19" s="82" t="s">
        <v>69</v>
      </c>
      <c r="C19" s="482"/>
      <c r="D19" s="482"/>
      <c r="E19" s="482"/>
      <c r="F19" s="482"/>
      <c r="G19" s="106" t="s">
        <v>89</v>
      </c>
      <c r="H19" s="107" t="s">
        <v>100</v>
      </c>
      <c r="I19" s="102"/>
      <c r="J19" s="102"/>
      <c r="K19" s="102"/>
      <c r="L19" s="102"/>
      <c r="M19" s="102"/>
      <c r="N19" s="102"/>
      <c r="O19" s="10"/>
      <c r="P19" s="478" t="s">
        <v>264</v>
      </c>
      <c r="Q19" s="478"/>
      <c r="R19" s="478"/>
      <c r="S19" s="478"/>
      <c r="T19" s="478"/>
      <c r="U19" s="478"/>
      <c r="V19" s="478"/>
      <c r="W19" s="478"/>
      <c r="X19" s="478"/>
      <c r="Y19" s="478"/>
      <c r="Z19" s="478"/>
      <c r="AA19" s="478"/>
      <c r="AB19" s="478"/>
      <c r="AC19" s="478"/>
      <c r="AD19" s="478"/>
      <c r="AE19" s="478"/>
      <c r="AF19" s="478"/>
      <c r="AG19" s="478"/>
      <c r="AH19" s="9"/>
      <c r="AI19" s="475"/>
      <c r="AJ19" s="474"/>
      <c r="AK19" s="474"/>
      <c r="AL19" s="474"/>
      <c r="AM19" s="9"/>
      <c r="AN19" s="476"/>
      <c r="AO19" s="474"/>
      <c r="AP19" s="474"/>
      <c r="AQ19" s="474"/>
      <c r="AR19" s="9"/>
      <c r="AS19" s="477"/>
      <c r="AT19" s="477"/>
      <c r="AU19" s="477"/>
      <c r="AV19" s="477"/>
      <c r="AW19" s="9"/>
      <c r="AX19" s="85"/>
      <c r="AY19" s="85"/>
      <c r="AZ19" s="85"/>
      <c r="BA19" s="85"/>
      <c r="BB19" s="85"/>
      <c r="BC19" s="85"/>
      <c r="BD19" s="85"/>
      <c r="BE19" s="85"/>
      <c r="BF19" s="85"/>
      <c r="BG19" s="85"/>
      <c r="BH19" s="85"/>
      <c r="BI19" s="85"/>
      <c r="BJ19" s="85"/>
      <c r="BK19" s="85"/>
      <c r="BL19" s="85"/>
      <c r="BM19" s="85"/>
      <c r="BN19" s="85"/>
      <c r="BO19" s="85"/>
      <c r="BP19" s="85"/>
      <c r="BQ19" s="85"/>
      <c r="BR19" s="85"/>
      <c r="BS19" s="85"/>
    </row>
    <row r="20" spans="2:71" s="6" customFormat="1" ht="16.5" customHeight="1" x14ac:dyDescent="0.2">
      <c r="C20" s="464"/>
      <c r="D20" s="464"/>
      <c r="E20" s="464"/>
      <c r="F20" s="464"/>
      <c r="G20" s="464"/>
      <c r="H20" s="464"/>
      <c r="I20" s="464"/>
      <c r="J20" s="79"/>
      <c r="K20" s="79"/>
      <c r="L20" s="79"/>
      <c r="M20" s="79"/>
      <c r="N20" s="79"/>
      <c r="O20" s="9"/>
      <c r="P20" s="79"/>
      <c r="Q20" s="79"/>
      <c r="R20" s="79"/>
      <c r="S20" s="79"/>
      <c r="T20" s="9"/>
      <c r="U20" s="79"/>
      <c r="V20" s="79"/>
      <c r="W20" s="79"/>
      <c r="X20" s="79"/>
      <c r="Y20" s="79"/>
      <c r="Z20" s="79"/>
      <c r="AA20" s="79"/>
      <c r="AB20" s="79"/>
      <c r="AC20" s="9"/>
      <c r="AD20" s="9"/>
      <c r="AE20" s="9"/>
      <c r="AF20" s="9"/>
      <c r="AG20" s="9"/>
      <c r="AH20" s="9"/>
      <c r="AI20" s="9"/>
      <c r="AJ20" s="9"/>
      <c r="AK20" s="9"/>
      <c r="AL20" s="9"/>
      <c r="AM20" s="9"/>
      <c r="AN20" s="9"/>
      <c r="AO20" s="9"/>
      <c r="AP20" s="9"/>
      <c r="AQ20" s="9"/>
      <c r="AR20" s="9"/>
      <c r="AS20" s="98"/>
      <c r="AT20" s="98"/>
      <c r="AU20" s="98"/>
      <c r="AV20" s="98"/>
      <c r="AW20" s="9"/>
      <c r="AX20" s="85"/>
      <c r="AY20" s="85"/>
      <c r="AZ20" s="85"/>
      <c r="BA20" s="85"/>
      <c r="BB20" s="86"/>
      <c r="BC20" s="86"/>
      <c r="BD20" s="86"/>
      <c r="BE20" s="86"/>
      <c r="BF20" s="86"/>
      <c r="BG20" s="86"/>
      <c r="BH20" s="86"/>
      <c r="BI20" s="86"/>
      <c r="BJ20" s="86"/>
      <c r="BK20" s="86"/>
      <c r="BL20" s="86"/>
      <c r="BM20" s="86"/>
      <c r="BN20" s="86"/>
      <c r="BO20" s="86"/>
      <c r="BP20" s="86"/>
      <c r="BQ20" s="86"/>
      <c r="BR20" s="86"/>
      <c r="BS20" s="86"/>
    </row>
    <row r="21" spans="2:71" s="6" customFormat="1" ht="27" customHeight="1" x14ac:dyDescent="0.35">
      <c r="B21" s="82" t="s">
        <v>69</v>
      </c>
      <c r="C21" s="481"/>
      <c r="D21" s="481"/>
      <c r="E21" s="481"/>
      <c r="F21" s="481"/>
      <c r="G21" s="106" t="s">
        <v>89</v>
      </c>
      <c r="H21" s="107" t="s">
        <v>100</v>
      </c>
      <c r="I21" s="102"/>
      <c r="J21" s="102"/>
      <c r="K21" s="102"/>
      <c r="L21" s="102"/>
      <c r="M21" s="102"/>
      <c r="N21" s="102"/>
      <c r="O21" s="10"/>
      <c r="P21" s="478" t="s">
        <v>265</v>
      </c>
      <c r="Q21" s="478"/>
      <c r="R21" s="478"/>
      <c r="S21" s="478"/>
      <c r="T21" s="478"/>
      <c r="U21" s="478"/>
      <c r="V21" s="478"/>
      <c r="W21" s="478"/>
      <c r="X21" s="478"/>
      <c r="Y21" s="478"/>
      <c r="Z21" s="478"/>
      <c r="AA21" s="478"/>
      <c r="AB21" s="478"/>
      <c r="AC21" s="478"/>
      <c r="AD21" s="478"/>
      <c r="AE21" s="478"/>
      <c r="AF21" s="478"/>
      <c r="AG21" s="478"/>
      <c r="AH21" s="7"/>
      <c r="AI21" s="465"/>
      <c r="AJ21" s="465"/>
      <c r="AK21" s="465"/>
      <c r="AL21" s="465"/>
      <c r="AN21" s="465"/>
      <c r="AO21" s="465"/>
      <c r="AP21" s="465"/>
      <c r="AQ21" s="465"/>
      <c r="AS21" s="466"/>
      <c r="AT21" s="466"/>
      <c r="AU21" s="466"/>
      <c r="AV21" s="466"/>
      <c r="AX21" s="85"/>
      <c r="AY21" s="85"/>
      <c r="AZ21" s="85"/>
      <c r="BA21" s="85"/>
      <c r="BB21" s="86"/>
      <c r="BC21" s="86"/>
      <c r="BD21" s="86"/>
      <c r="BE21" s="86"/>
      <c r="BF21" s="86"/>
      <c r="BG21" s="86"/>
      <c r="BH21" s="86"/>
      <c r="BI21" s="86"/>
      <c r="BJ21" s="86"/>
      <c r="BK21" s="86"/>
      <c r="BL21" s="86"/>
      <c r="BM21" s="86"/>
      <c r="BN21" s="86"/>
      <c r="BO21" s="86"/>
      <c r="BP21" s="86"/>
      <c r="BQ21" s="86"/>
      <c r="BR21" s="86"/>
      <c r="BS21" s="86"/>
    </row>
    <row r="22" spans="2:71" s="6" customFormat="1" ht="15.75" x14ac:dyDescent="0.2">
      <c r="C22" s="464"/>
      <c r="D22" s="464"/>
      <c r="E22" s="464"/>
      <c r="F22" s="464"/>
      <c r="G22" s="464"/>
      <c r="H22" s="464"/>
      <c r="I22" s="464"/>
      <c r="AN22"/>
      <c r="AX22" s="85"/>
      <c r="AY22" s="85"/>
      <c r="AZ22" s="85"/>
      <c r="BA22" s="85"/>
      <c r="BB22" s="86"/>
      <c r="BC22" s="86"/>
      <c r="BD22" s="86"/>
      <c r="BE22" s="86"/>
      <c r="BF22" s="86"/>
      <c r="BG22" s="86"/>
      <c r="BH22" s="86"/>
      <c r="BI22" s="86"/>
      <c r="BJ22" s="86"/>
      <c r="BK22" s="86"/>
      <c r="BL22" s="86"/>
      <c r="BM22" s="86"/>
      <c r="BN22" s="86"/>
      <c r="BO22" s="86"/>
      <c r="BP22" s="86"/>
      <c r="BQ22" s="86"/>
      <c r="BR22" s="86"/>
      <c r="BS22" s="86"/>
    </row>
    <row r="23" spans="2:71" s="6" customFormat="1" ht="27" customHeight="1" x14ac:dyDescent="0.35">
      <c r="B23" s="82" t="s">
        <v>69</v>
      </c>
      <c r="C23" s="481"/>
      <c r="D23" s="481"/>
      <c r="E23" s="481"/>
      <c r="F23" s="481"/>
      <c r="G23" s="106" t="s">
        <v>89</v>
      </c>
      <c r="H23" s="107" t="s">
        <v>100</v>
      </c>
      <c r="I23" s="102"/>
      <c r="J23" s="102"/>
      <c r="K23" s="102"/>
      <c r="L23" s="102"/>
      <c r="M23" s="102"/>
      <c r="N23" s="102"/>
      <c r="O23" s="10"/>
      <c r="P23" s="478" t="s">
        <v>266</v>
      </c>
      <c r="Q23" s="478"/>
      <c r="R23" s="478"/>
      <c r="S23" s="478"/>
      <c r="T23" s="478"/>
      <c r="U23" s="478"/>
      <c r="V23" s="478"/>
      <c r="W23" s="478"/>
      <c r="X23" s="478"/>
      <c r="Y23" s="478"/>
      <c r="Z23" s="478"/>
      <c r="AA23" s="478"/>
      <c r="AB23" s="478"/>
      <c r="AC23" s="478"/>
      <c r="AD23" s="478"/>
      <c r="AE23" s="478"/>
      <c r="AF23" s="478"/>
      <c r="AG23" s="478"/>
      <c r="AH23" s="7"/>
      <c r="AI23" s="465"/>
      <c r="AJ23" s="465"/>
      <c r="AK23" s="465"/>
      <c r="AL23" s="465"/>
      <c r="AN23" s="465"/>
      <c r="AO23" s="465"/>
      <c r="AP23" s="465"/>
      <c r="AQ23" s="465"/>
      <c r="AS23" s="466"/>
      <c r="AT23" s="466"/>
      <c r="AU23" s="466"/>
      <c r="AV23" s="466"/>
      <c r="AX23" s="85"/>
      <c r="AY23" s="85"/>
      <c r="AZ23" s="85"/>
      <c r="BA23" s="85"/>
      <c r="BB23" s="86"/>
      <c r="BC23" s="86"/>
      <c r="BD23" s="86"/>
      <c r="BE23" s="86"/>
      <c r="BF23" s="86"/>
      <c r="BG23" s="86"/>
      <c r="BH23" s="86"/>
      <c r="BI23" s="86"/>
      <c r="BJ23" s="86"/>
      <c r="BK23" s="86"/>
      <c r="BL23" s="86"/>
      <c r="BM23" s="86"/>
      <c r="BN23" s="86"/>
      <c r="BO23" s="86"/>
      <c r="BP23" s="86"/>
      <c r="BQ23" s="86"/>
      <c r="BR23" s="86"/>
      <c r="BS23" s="86"/>
    </row>
    <row r="24" spans="2:71" s="6" customFormat="1" ht="15.75" x14ac:dyDescent="0.2">
      <c r="C24" s="464"/>
      <c r="D24" s="464"/>
      <c r="E24" s="464"/>
      <c r="F24" s="464"/>
      <c r="G24" s="464"/>
      <c r="H24" s="464"/>
      <c r="I24" s="464"/>
      <c r="AN24"/>
      <c r="AX24" s="85"/>
      <c r="AY24" s="85"/>
      <c r="AZ24" s="85"/>
      <c r="BA24" s="85"/>
      <c r="BB24" s="86"/>
      <c r="BC24" s="86"/>
      <c r="BD24" s="86"/>
      <c r="BE24" s="86"/>
      <c r="BF24" s="86"/>
      <c r="BG24" s="86"/>
      <c r="BH24" s="86"/>
      <c r="BI24" s="86"/>
      <c r="BJ24" s="86"/>
      <c r="BK24" s="86"/>
      <c r="BL24" s="86"/>
      <c r="BM24" s="86"/>
      <c r="BN24" s="86"/>
      <c r="BO24" s="86"/>
      <c r="BP24" s="86"/>
      <c r="BQ24" s="86"/>
      <c r="BR24" s="86"/>
      <c r="BS24" s="86"/>
    </row>
    <row r="25" spans="2:71" s="6" customFormat="1" ht="27" customHeight="1" x14ac:dyDescent="0.35">
      <c r="B25" s="82" t="s">
        <v>69</v>
      </c>
      <c r="C25" s="481"/>
      <c r="D25" s="481"/>
      <c r="E25" s="481"/>
      <c r="F25" s="481"/>
      <c r="G25" s="106" t="s">
        <v>89</v>
      </c>
      <c r="H25" s="107" t="s">
        <v>100</v>
      </c>
      <c r="I25" s="102"/>
      <c r="J25" s="102"/>
      <c r="K25" s="102"/>
      <c r="L25" s="102"/>
      <c r="M25" s="102"/>
      <c r="N25" s="102"/>
      <c r="O25" s="10"/>
      <c r="P25" s="478" t="s">
        <v>267</v>
      </c>
      <c r="Q25" s="478"/>
      <c r="R25" s="478"/>
      <c r="S25" s="478"/>
      <c r="T25" s="478"/>
      <c r="U25" s="478"/>
      <c r="V25" s="478"/>
      <c r="W25" s="478"/>
      <c r="X25" s="478"/>
      <c r="Y25" s="478"/>
      <c r="Z25" s="478"/>
      <c r="AA25" s="478"/>
      <c r="AB25" s="478"/>
      <c r="AC25" s="478"/>
      <c r="AD25" s="478"/>
      <c r="AE25" s="478"/>
      <c r="AF25" s="478"/>
      <c r="AG25" s="478"/>
      <c r="AH25" s="7"/>
      <c r="AI25" s="465"/>
      <c r="AJ25" s="465"/>
      <c r="AK25" s="465"/>
      <c r="AL25" s="465"/>
      <c r="AN25" s="465"/>
      <c r="AO25" s="465"/>
      <c r="AP25" s="465"/>
      <c r="AQ25" s="465"/>
      <c r="AS25" s="466"/>
      <c r="AT25" s="466"/>
      <c r="AU25" s="466"/>
      <c r="AV25" s="466"/>
      <c r="AX25" s="85"/>
      <c r="AY25" s="85"/>
      <c r="AZ25" s="85"/>
      <c r="BA25" s="85"/>
      <c r="BB25" s="86"/>
      <c r="BC25" s="86"/>
      <c r="BD25" s="86"/>
      <c r="BE25" s="86"/>
      <c r="BF25" s="86"/>
      <c r="BG25" s="86"/>
      <c r="BH25" s="86"/>
      <c r="BI25" s="86"/>
      <c r="BJ25" s="86"/>
      <c r="BK25" s="86"/>
      <c r="BL25" s="86"/>
      <c r="BM25" s="86"/>
      <c r="BN25" s="86"/>
      <c r="BO25" s="86"/>
      <c r="BP25" s="86"/>
      <c r="BQ25" s="86"/>
      <c r="BR25" s="86"/>
      <c r="BS25" s="86"/>
    </row>
    <row r="26" spans="2:71" s="6" customFormat="1" ht="20.100000000000001" customHeight="1" x14ac:dyDescent="0.2">
      <c r="C26" s="464"/>
      <c r="D26" s="464"/>
      <c r="E26" s="464"/>
      <c r="F26" s="464"/>
      <c r="G26" s="464"/>
      <c r="H26" s="464"/>
      <c r="I26" s="464"/>
      <c r="J26" s="102"/>
      <c r="K26" s="102"/>
      <c r="L26" s="102"/>
      <c r="M26" s="102"/>
      <c r="N26" s="102"/>
      <c r="O26" s="10"/>
      <c r="P26" s="473"/>
      <c r="Q26" s="473"/>
      <c r="R26" s="473"/>
      <c r="S26" s="473"/>
      <c r="U26" s="473"/>
      <c r="V26" s="473"/>
      <c r="W26" s="473"/>
      <c r="X26" s="473"/>
      <c r="Y26" s="473"/>
      <c r="Z26" s="473"/>
      <c r="AA26" s="473"/>
      <c r="AB26" s="473"/>
      <c r="AX26" s="10"/>
      <c r="AY26" s="85"/>
      <c r="AZ26" s="85"/>
      <c r="BA26" s="85"/>
      <c r="BB26" s="86"/>
      <c r="BC26" s="86"/>
      <c r="BD26" s="86"/>
      <c r="BE26" s="86"/>
      <c r="BF26" s="86"/>
      <c r="BG26" s="86"/>
      <c r="BH26" s="86"/>
      <c r="BI26" s="86"/>
      <c r="BJ26" s="86"/>
      <c r="BK26" s="86"/>
      <c r="BL26" s="86"/>
      <c r="BM26" s="86"/>
      <c r="BN26" s="86"/>
      <c r="BO26" s="86"/>
      <c r="BP26" s="86"/>
      <c r="BQ26" s="86"/>
      <c r="BR26" s="86"/>
      <c r="BS26" s="86"/>
    </row>
    <row r="27" spans="2:71" s="6" customFormat="1" ht="20.100000000000001" customHeight="1" x14ac:dyDescent="0.2">
      <c r="C27" s="340" t="s">
        <v>268</v>
      </c>
      <c r="D27" s="99"/>
      <c r="E27" s="99"/>
      <c r="F27" s="99"/>
      <c r="G27" s="99"/>
      <c r="H27" s="99"/>
      <c r="I27" s="99"/>
      <c r="J27" s="102"/>
      <c r="K27" s="102"/>
      <c r="L27" s="102"/>
      <c r="M27" s="102"/>
      <c r="N27" s="102"/>
      <c r="O27" s="10"/>
      <c r="P27" s="336"/>
      <c r="Q27" s="336"/>
      <c r="R27" s="336"/>
      <c r="S27" s="336"/>
      <c r="U27" s="336"/>
      <c r="V27" s="336"/>
      <c r="W27" s="336"/>
      <c r="X27" s="336"/>
      <c r="Y27" s="336"/>
      <c r="Z27" s="336"/>
      <c r="AA27" s="336"/>
      <c r="AB27" s="336"/>
      <c r="AX27" s="10"/>
      <c r="AY27" s="85"/>
      <c r="AZ27" s="85"/>
      <c r="BA27" s="85"/>
      <c r="BB27" s="86"/>
      <c r="BC27" s="86"/>
      <c r="BD27" s="86"/>
      <c r="BE27" s="86"/>
      <c r="BF27" s="86"/>
      <c r="BG27" s="86"/>
      <c r="BH27" s="86"/>
      <c r="BI27" s="86"/>
      <c r="BJ27" s="86"/>
      <c r="BK27" s="86"/>
      <c r="BL27" s="86"/>
      <c r="BM27" s="86"/>
      <c r="BN27" s="86"/>
      <c r="BO27" s="86"/>
      <c r="BP27" s="86"/>
      <c r="BQ27" s="86"/>
      <c r="BR27" s="86"/>
      <c r="BS27" s="86"/>
    </row>
    <row r="28" spans="2:71" s="6" customFormat="1" ht="20.100000000000001" customHeight="1" x14ac:dyDescent="0.2">
      <c r="C28" s="340" t="s">
        <v>269</v>
      </c>
      <c r="D28" s="99"/>
      <c r="E28" s="99"/>
      <c r="F28" s="99"/>
      <c r="G28" s="99"/>
      <c r="H28" s="99"/>
      <c r="I28" s="99"/>
      <c r="J28" s="102"/>
      <c r="K28" s="102"/>
      <c r="L28" s="102"/>
      <c r="M28" s="102"/>
      <c r="N28" s="102"/>
      <c r="O28" s="10"/>
      <c r="P28" s="336"/>
      <c r="Q28" s="336"/>
      <c r="R28" s="336"/>
      <c r="S28" s="336"/>
      <c r="U28" s="336"/>
      <c r="V28" s="336"/>
      <c r="W28" s="336"/>
      <c r="X28" s="336"/>
      <c r="Y28" s="336"/>
      <c r="Z28" s="336"/>
      <c r="AA28" s="336"/>
      <c r="AB28" s="336"/>
      <c r="AX28" s="10"/>
      <c r="AY28" s="85"/>
      <c r="AZ28" s="85"/>
      <c r="BA28" s="85"/>
      <c r="BB28" s="86"/>
      <c r="BC28" s="86"/>
      <c r="BD28" s="86"/>
      <c r="BE28" s="86"/>
      <c r="BF28" s="86"/>
      <c r="BG28" s="86"/>
      <c r="BH28" s="86"/>
      <c r="BI28" s="86"/>
      <c r="BJ28" s="86"/>
      <c r="BK28" s="86"/>
      <c r="BL28" s="86"/>
      <c r="BM28" s="86"/>
      <c r="BN28" s="86"/>
      <c r="BO28" s="86"/>
      <c r="BP28" s="86"/>
      <c r="BQ28" s="86"/>
      <c r="BR28" s="86"/>
      <c r="BS28" s="86"/>
    </row>
    <row r="29" spans="2:71" s="6" customFormat="1" ht="20.100000000000001" customHeight="1" x14ac:dyDescent="0.2">
      <c r="C29" s="340"/>
      <c r="D29" s="99"/>
      <c r="E29" s="99"/>
      <c r="F29" s="99"/>
      <c r="G29" s="99"/>
      <c r="H29" s="99"/>
      <c r="I29" s="99"/>
      <c r="J29" s="102"/>
      <c r="K29" s="102"/>
      <c r="L29" s="102"/>
      <c r="M29" s="102"/>
      <c r="N29" s="102"/>
      <c r="O29" s="10"/>
      <c r="P29" s="336"/>
      <c r="Q29" s="336"/>
      <c r="R29" s="336"/>
      <c r="S29" s="336"/>
      <c r="U29" s="336"/>
      <c r="V29" s="336"/>
      <c r="W29" s="336"/>
      <c r="X29" s="336"/>
      <c r="Y29" s="336"/>
      <c r="Z29" s="336"/>
      <c r="AA29" s="336"/>
      <c r="AB29" s="336"/>
      <c r="AX29" s="10"/>
      <c r="AY29" s="85"/>
      <c r="AZ29" s="85"/>
      <c r="BA29" s="85"/>
      <c r="BB29" s="86"/>
      <c r="BC29" s="86"/>
      <c r="BD29" s="86"/>
      <c r="BE29" s="86"/>
      <c r="BF29" s="86"/>
      <c r="BG29" s="86"/>
      <c r="BH29" s="86"/>
      <c r="BI29" s="86"/>
      <c r="BJ29" s="86"/>
      <c r="BK29" s="86"/>
      <c r="BL29" s="86"/>
      <c r="BM29" s="86"/>
      <c r="BN29" s="86"/>
      <c r="BO29" s="86"/>
      <c r="BP29" s="86"/>
      <c r="BQ29" s="86"/>
      <c r="BR29" s="86"/>
      <c r="BS29" s="86"/>
    </row>
    <row r="30" spans="2:71" s="27" customFormat="1" ht="20.45" customHeight="1" x14ac:dyDescent="0.2">
      <c r="C30" s="78"/>
      <c r="D30" s="10"/>
      <c r="E30" s="480"/>
      <c r="F30" s="480"/>
      <c r="G30" s="480"/>
      <c r="H30" s="480"/>
      <c r="I30" s="480"/>
      <c r="J30" s="480"/>
      <c r="K30" s="480"/>
      <c r="L30" s="480"/>
      <c r="M30" s="480"/>
      <c r="N30" s="480"/>
      <c r="O30" s="10"/>
      <c r="P30" s="473"/>
      <c r="Q30" s="473"/>
      <c r="R30" s="473"/>
      <c r="S30" s="473"/>
      <c r="T30" s="6"/>
      <c r="U30" s="473"/>
      <c r="V30" s="473"/>
      <c r="W30" s="473"/>
      <c r="X30" s="473"/>
      <c r="Y30" s="473"/>
      <c r="Z30" s="473"/>
      <c r="AA30" s="473"/>
      <c r="AB30" s="473"/>
      <c r="AC30" s="82" t="s">
        <v>151</v>
      </c>
      <c r="AD30" s="105"/>
      <c r="AE30" s="192"/>
      <c r="AF30" s="192"/>
      <c r="AG30" s="192"/>
      <c r="AH30" s="193"/>
      <c r="AI30" s="485"/>
      <c r="AJ30" s="485"/>
      <c r="AK30" s="485"/>
      <c r="AL30" s="485"/>
      <c r="AM30" s="82" t="s">
        <v>152</v>
      </c>
      <c r="AN30" s="194"/>
      <c r="AO30" s="192"/>
      <c r="AP30" s="192"/>
      <c r="AQ30" s="192"/>
      <c r="AR30" s="195"/>
      <c r="AS30" s="484"/>
      <c r="AT30" s="484"/>
      <c r="AU30" s="484"/>
      <c r="AV30" s="484"/>
      <c r="AW30" s="6"/>
      <c r="AX30" s="85"/>
      <c r="AY30" s="86"/>
      <c r="AZ30" s="86"/>
      <c r="BA30" s="86"/>
      <c r="BB30" s="86"/>
      <c r="BC30" s="86"/>
      <c r="BD30" s="86"/>
      <c r="BE30" s="86"/>
      <c r="BF30" s="86"/>
      <c r="BG30" s="86"/>
      <c r="BH30" s="86"/>
      <c r="BI30" s="86"/>
      <c r="BJ30" s="86"/>
      <c r="BK30" s="86"/>
      <c r="BL30" s="86"/>
      <c r="BM30" s="86"/>
      <c r="BN30" s="86"/>
      <c r="BO30" s="86"/>
      <c r="BP30" s="86"/>
      <c r="BQ30" s="86"/>
      <c r="BR30" s="86"/>
      <c r="BS30" s="86"/>
    </row>
    <row r="31" spans="2:71" s="27" customFormat="1" ht="20.45" customHeight="1" x14ac:dyDescent="0.2">
      <c r="C31" s="464"/>
      <c r="D31" s="464"/>
      <c r="E31" s="464"/>
      <c r="F31" s="464"/>
      <c r="G31" s="464"/>
      <c r="H31" s="464"/>
      <c r="I31" s="464"/>
      <c r="J31" s="79"/>
      <c r="K31" s="79"/>
      <c r="L31" s="79"/>
      <c r="M31" s="79"/>
      <c r="N31" s="79"/>
      <c r="O31" s="9"/>
      <c r="P31" s="79"/>
      <c r="Q31" s="79"/>
      <c r="R31" s="79"/>
      <c r="S31" s="79"/>
      <c r="T31" s="9"/>
      <c r="U31" s="79"/>
      <c r="V31" s="79"/>
      <c r="W31" s="79"/>
      <c r="X31" s="79"/>
      <c r="Y31" s="79"/>
      <c r="Z31" s="79"/>
      <c r="AA31" s="79"/>
      <c r="AB31" s="79"/>
      <c r="AC31" s="9"/>
      <c r="AD31" s="474"/>
      <c r="AE31" s="474"/>
      <c r="AF31" s="474"/>
      <c r="AG31" s="474"/>
      <c r="AH31" s="9"/>
      <c r="AI31" s="475"/>
      <c r="AJ31" s="474"/>
      <c r="AK31" s="474"/>
      <c r="AL31" s="474"/>
      <c r="AM31" s="9"/>
      <c r="AN31" s="476"/>
      <c r="AO31" s="474"/>
      <c r="AP31" s="474"/>
      <c r="AQ31" s="474"/>
      <c r="AR31" s="9"/>
      <c r="AS31" s="477"/>
      <c r="AT31" s="477"/>
      <c r="AU31" s="477"/>
      <c r="AV31" s="477"/>
      <c r="AW31" s="9"/>
      <c r="AX31" s="10"/>
      <c r="AY31" s="67"/>
      <c r="AZ31" s="67"/>
      <c r="BA31" s="67"/>
      <c r="BB31" s="67"/>
      <c r="BC31" s="67"/>
      <c r="BD31" s="67"/>
      <c r="BE31" s="67"/>
      <c r="BF31" s="67"/>
      <c r="BG31" s="67"/>
      <c r="BH31" s="67"/>
      <c r="BI31" s="67"/>
      <c r="BJ31" s="67"/>
      <c r="BK31" s="67"/>
      <c r="BL31" s="67"/>
      <c r="BM31" s="67"/>
      <c r="BN31" s="67"/>
      <c r="BO31" s="67"/>
      <c r="BP31" s="67"/>
      <c r="BQ31" s="67"/>
      <c r="BR31" s="67"/>
      <c r="BS31" s="67"/>
    </row>
    <row r="32" spans="2:71" s="6" customFormat="1" ht="26.25" customHeight="1" x14ac:dyDescent="0.2">
      <c r="C32" s="100" t="s">
        <v>153</v>
      </c>
      <c r="D32" s="100"/>
      <c r="E32" s="100"/>
      <c r="F32" s="100"/>
      <c r="G32" s="100"/>
      <c r="H32" s="100"/>
      <c r="I32" s="100"/>
      <c r="J32" s="79"/>
      <c r="K32" s="79"/>
      <c r="L32" s="196"/>
      <c r="M32" s="197"/>
      <c r="N32" s="197"/>
      <c r="O32" s="198"/>
      <c r="P32" s="197"/>
      <c r="Q32" s="197"/>
      <c r="R32" s="197"/>
      <c r="S32" s="197"/>
      <c r="T32" s="198"/>
      <c r="U32" s="197"/>
      <c r="V32" s="197"/>
      <c r="W32" s="197"/>
      <c r="X32" s="197"/>
      <c r="Y32" s="197"/>
      <c r="Z32" s="197"/>
      <c r="AA32" s="197"/>
      <c r="AB32" s="197"/>
      <c r="AC32" s="198"/>
      <c r="AD32" s="198"/>
      <c r="AE32" s="198"/>
      <c r="AF32" s="198"/>
      <c r="AG32" s="198"/>
      <c r="AH32" s="198"/>
      <c r="AI32" s="198"/>
      <c r="AJ32" s="198"/>
      <c r="AK32" s="198"/>
      <c r="AL32" s="198"/>
      <c r="AM32" s="198"/>
      <c r="AN32" s="198"/>
      <c r="AO32" s="198"/>
      <c r="AP32" s="198"/>
      <c r="AQ32" s="198"/>
      <c r="AR32" s="198"/>
      <c r="AS32" s="199"/>
      <c r="AT32" s="199"/>
      <c r="AU32" s="199"/>
      <c r="AV32" s="200"/>
      <c r="AW32" s="9"/>
      <c r="AX32" s="85"/>
      <c r="AY32" s="73"/>
      <c r="AZ32" s="73"/>
      <c r="BA32" s="73"/>
      <c r="BB32" s="73"/>
      <c r="BC32" s="73"/>
      <c r="BD32" s="73"/>
      <c r="BE32" s="73"/>
      <c r="BF32" s="73"/>
      <c r="BG32" s="73"/>
      <c r="BH32" s="73"/>
      <c r="BI32" s="73"/>
      <c r="BJ32" s="73"/>
      <c r="BK32" s="73"/>
      <c r="BL32" s="73"/>
      <c r="BM32" s="73"/>
      <c r="BN32" s="73"/>
      <c r="BO32" s="73"/>
      <c r="BP32" s="73"/>
      <c r="BQ32" s="73"/>
      <c r="BR32" s="73"/>
      <c r="BS32" s="73"/>
    </row>
    <row r="33" spans="3:50" s="6" customFormat="1" ht="25.5" customHeight="1" x14ac:dyDescent="0.2">
      <c r="C33" s="464"/>
      <c r="D33" s="464"/>
      <c r="E33" s="464"/>
      <c r="F33" s="464"/>
      <c r="G33" s="464"/>
      <c r="H33" s="464"/>
      <c r="I33" s="464"/>
      <c r="J33" s="80"/>
      <c r="K33" s="99"/>
      <c r="L33" s="201"/>
      <c r="M33" s="79"/>
      <c r="N33" s="79"/>
      <c r="O33" s="9"/>
      <c r="P33" s="79"/>
      <c r="Q33" s="79"/>
      <c r="R33" s="80"/>
      <c r="S33" s="100"/>
      <c r="T33" s="9"/>
      <c r="U33" s="79"/>
      <c r="V33" s="79"/>
      <c r="W33" s="79"/>
      <c r="X33" s="79"/>
      <c r="Y33" s="79"/>
      <c r="Z33" s="79"/>
      <c r="AA33" s="80"/>
      <c r="AB33" s="100"/>
      <c r="AC33" s="9"/>
      <c r="AD33" s="79"/>
      <c r="AE33" s="79"/>
      <c r="AF33" s="79"/>
      <c r="AG33" s="79"/>
      <c r="AH33" s="9"/>
      <c r="AI33" s="80"/>
      <c r="AJ33" s="100"/>
      <c r="AK33" s="79"/>
      <c r="AL33" s="79"/>
      <c r="AM33" s="9"/>
      <c r="AN33" s="79"/>
      <c r="AO33" s="79"/>
      <c r="AP33" s="79"/>
      <c r="AQ33" s="79"/>
      <c r="AR33" s="9"/>
      <c r="AS33" s="101"/>
      <c r="AT33" s="101"/>
      <c r="AU33" s="101"/>
      <c r="AV33" s="202"/>
      <c r="AW33" s="9"/>
      <c r="AX33" s="86"/>
    </row>
    <row r="34" spans="3:50" ht="25.5" customHeight="1" x14ac:dyDescent="0.2">
      <c r="C34" s="464"/>
      <c r="D34" s="464"/>
      <c r="E34" s="464"/>
      <c r="F34" s="464"/>
      <c r="G34" s="464"/>
      <c r="H34" s="464"/>
      <c r="I34" s="464"/>
      <c r="J34" s="6"/>
      <c r="K34" s="6"/>
      <c r="L34" s="203"/>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O34" s="6"/>
      <c r="AP34" s="6"/>
      <c r="AQ34" s="6"/>
      <c r="AR34" s="6"/>
      <c r="AS34" s="6"/>
      <c r="AT34" s="6"/>
      <c r="AU34" s="6"/>
      <c r="AV34" s="204"/>
      <c r="AW34" s="6"/>
      <c r="AX34" s="67"/>
    </row>
    <row r="35" spans="3:50" x14ac:dyDescent="0.2">
      <c r="C35" s="464"/>
      <c r="D35" s="464"/>
      <c r="E35" s="464"/>
      <c r="F35" s="464"/>
      <c r="G35" s="464"/>
      <c r="H35" s="464"/>
      <c r="I35" s="464"/>
      <c r="J35" s="6"/>
      <c r="K35" s="6"/>
      <c r="L35" s="203"/>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O35" s="6"/>
      <c r="AP35" s="6"/>
      <c r="AQ35" s="6"/>
      <c r="AR35" s="6"/>
      <c r="AS35" s="6"/>
      <c r="AT35" s="6"/>
      <c r="AU35" s="6"/>
      <c r="AV35" s="204"/>
      <c r="AW35" s="6"/>
      <c r="AX35" s="73"/>
    </row>
    <row r="36" spans="3:50" ht="15.75" x14ac:dyDescent="0.2">
      <c r="C36" s="464"/>
      <c r="D36" s="464"/>
      <c r="E36" s="464"/>
      <c r="F36" s="464"/>
      <c r="G36" s="464"/>
      <c r="H36" s="464"/>
      <c r="I36" s="464"/>
      <c r="J36" s="6"/>
      <c r="K36" s="6"/>
      <c r="L36" s="203"/>
      <c r="M36" s="6"/>
      <c r="N36" s="6"/>
      <c r="O36" s="10"/>
      <c r="P36" s="6"/>
      <c r="Q36" s="6"/>
      <c r="R36" s="6"/>
      <c r="S36" s="6"/>
      <c r="T36" s="6"/>
      <c r="U36" s="6"/>
      <c r="V36" s="6"/>
      <c r="W36" s="6"/>
      <c r="X36" s="6"/>
      <c r="Y36" s="6"/>
      <c r="Z36" s="6"/>
      <c r="AA36" s="6"/>
      <c r="AB36" s="6"/>
      <c r="AC36" s="6"/>
      <c r="AD36" s="85"/>
      <c r="AE36" s="85"/>
      <c r="AF36" s="85"/>
      <c r="AG36" s="85"/>
      <c r="AH36" s="7"/>
      <c r="AI36" s="85"/>
      <c r="AJ36" s="85"/>
      <c r="AK36" s="85"/>
      <c r="AL36" s="85"/>
      <c r="AM36" s="6"/>
      <c r="AN36" s="85"/>
      <c r="AO36" s="85"/>
      <c r="AP36" s="85"/>
      <c r="AQ36" s="85"/>
      <c r="AR36" s="6"/>
      <c r="AS36" s="85"/>
      <c r="AT36" s="85"/>
      <c r="AU36" s="85"/>
      <c r="AV36" s="205"/>
      <c r="AW36" s="6"/>
      <c r="AX36" s="6"/>
    </row>
    <row r="37" spans="3:50" ht="15.75" x14ac:dyDescent="0.2">
      <c r="C37" s="464"/>
      <c r="D37" s="464"/>
      <c r="E37" s="464"/>
      <c r="F37" s="464"/>
      <c r="G37" s="464"/>
      <c r="H37" s="464"/>
      <c r="I37" s="464"/>
      <c r="J37" s="102"/>
      <c r="K37" s="102"/>
      <c r="L37" s="206"/>
      <c r="M37" s="102"/>
      <c r="N37" s="102"/>
      <c r="O37" s="10"/>
      <c r="P37" s="473"/>
      <c r="Q37" s="473"/>
      <c r="R37" s="473"/>
      <c r="S37" s="473"/>
      <c r="T37" s="6"/>
      <c r="U37" s="473"/>
      <c r="V37" s="473"/>
      <c r="W37" s="473"/>
      <c r="X37" s="473"/>
      <c r="Y37" s="473"/>
      <c r="Z37" s="473"/>
      <c r="AA37" s="473"/>
      <c r="AB37" s="473"/>
      <c r="AC37" s="6"/>
      <c r="AD37" s="465"/>
      <c r="AE37" s="465"/>
      <c r="AF37" s="465"/>
      <c r="AG37" s="465"/>
      <c r="AH37" s="7"/>
      <c r="AI37" s="465"/>
      <c r="AJ37" s="465"/>
      <c r="AK37" s="465"/>
      <c r="AL37" s="465"/>
      <c r="AM37" s="6"/>
      <c r="AN37" s="465"/>
      <c r="AO37" s="465"/>
      <c r="AP37" s="465"/>
      <c r="AQ37" s="465"/>
      <c r="AR37" s="6"/>
      <c r="AS37" s="466"/>
      <c r="AT37" s="466"/>
      <c r="AU37" s="466"/>
      <c r="AV37" s="467"/>
      <c r="AW37" s="6"/>
      <c r="AX37" s="6"/>
    </row>
    <row r="38" spans="3:50" x14ac:dyDescent="0.2">
      <c r="C38" s="6"/>
      <c r="D38" s="6"/>
      <c r="E38" s="6"/>
      <c r="F38" s="6"/>
      <c r="G38" s="6"/>
      <c r="H38" s="6"/>
      <c r="I38" s="6"/>
      <c r="J38" s="6"/>
      <c r="K38" s="6"/>
      <c r="L38" s="203"/>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204"/>
      <c r="AW38" s="6"/>
      <c r="AX38" s="6"/>
    </row>
    <row r="39" spans="3:50" x14ac:dyDescent="0.2">
      <c r="C39" s="6"/>
      <c r="D39" s="6"/>
      <c r="E39" s="6"/>
      <c r="F39" s="6"/>
      <c r="G39" s="6"/>
      <c r="H39" s="6"/>
      <c r="I39" s="6"/>
      <c r="J39" s="6"/>
      <c r="K39" s="6"/>
      <c r="L39" s="203"/>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204"/>
      <c r="AW39" s="6"/>
      <c r="AX39" s="6"/>
    </row>
    <row r="40" spans="3:50" x14ac:dyDescent="0.2">
      <c r="L40" s="92"/>
      <c r="AV40" s="94"/>
    </row>
    <row r="41" spans="3:50" x14ac:dyDescent="0.2">
      <c r="L41" s="92"/>
      <c r="AV41" s="94"/>
    </row>
    <row r="42" spans="3:50" x14ac:dyDescent="0.2">
      <c r="L42" s="92"/>
      <c r="AV42" s="94"/>
    </row>
    <row r="43" spans="3:50" ht="15.75" x14ac:dyDescent="0.2">
      <c r="C43" s="464"/>
      <c r="D43" s="464"/>
      <c r="E43" s="464"/>
      <c r="F43" s="464"/>
      <c r="G43" s="464"/>
      <c r="H43" s="464"/>
      <c r="I43" s="464"/>
      <c r="J43" s="79"/>
      <c r="K43" s="79"/>
      <c r="L43" s="207"/>
      <c r="M43" s="208"/>
      <c r="N43" s="208"/>
      <c r="O43" s="209"/>
      <c r="P43" s="208"/>
      <c r="Q43" s="208"/>
      <c r="R43" s="208"/>
      <c r="S43" s="208"/>
      <c r="T43" s="209"/>
      <c r="U43" s="208"/>
      <c r="V43" s="208"/>
      <c r="W43" s="208"/>
      <c r="X43" s="208"/>
      <c r="Y43" s="208"/>
      <c r="Z43" s="208"/>
      <c r="AA43" s="208"/>
      <c r="AB43" s="208"/>
      <c r="AC43" s="209"/>
      <c r="AD43" s="468"/>
      <c r="AE43" s="468"/>
      <c r="AF43" s="468"/>
      <c r="AG43" s="468"/>
      <c r="AH43" s="209"/>
      <c r="AI43" s="469"/>
      <c r="AJ43" s="468"/>
      <c r="AK43" s="468"/>
      <c r="AL43" s="468"/>
      <c r="AM43" s="209"/>
      <c r="AN43" s="470"/>
      <c r="AO43" s="468"/>
      <c r="AP43" s="468"/>
      <c r="AQ43" s="468"/>
      <c r="AR43" s="209"/>
      <c r="AS43" s="471"/>
      <c r="AT43" s="471"/>
      <c r="AU43" s="471"/>
      <c r="AV43" s="472"/>
      <c r="AW43" s="9"/>
    </row>
    <row r="44" spans="3:50" ht="15.75" x14ac:dyDescent="0.2">
      <c r="C44" s="99"/>
      <c r="D44" s="99"/>
      <c r="E44" s="99"/>
      <c r="F44" s="99"/>
      <c r="G44" s="99"/>
      <c r="H44" s="99"/>
      <c r="I44" s="99"/>
      <c r="J44" s="79"/>
      <c r="K44" s="79"/>
      <c r="L44" s="79"/>
      <c r="M44" s="79"/>
      <c r="N44" s="79"/>
      <c r="O44" s="9"/>
      <c r="P44" s="79"/>
      <c r="Q44" s="79"/>
      <c r="R44" s="79"/>
      <c r="S44" s="79"/>
      <c r="T44" s="9"/>
      <c r="U44" s="79"/>
      <c r="V44" s="79"/>
      <c r="W44" s="79"/>
      <c r="X44" s="79"/>
      <c r="Y44" s="79"/>
      <c r="Z44" s="79"/>
      <c r="AA44" s="79"/>
      <c r="AB44" s="79"/>
      <c r="AC44" s="9"/>
      <c r="AD44" s="210"/>
      <c r="AE44" s="210"/>
      <c r="AF44" s="210"/>
      <c r="AG44" s="210"/>
      <c r="AH44" s="9"/>
      <c r="AI44" s="211"/>
      <c r="AJ44" s="210"/>
      <c r="AK44" s="210"/>
      <c r="AL44" s="210"/>
      <c r="AM44" s="9"/>
      <c r="AN44" s="212"/>
      <c r="AO44" s="210"/>
      <c r="AP44" s="210"/>
      <c r="AQ44" s="210"/>
      <c r="AR44" s="9"/>
      <c r="AS44" s="213"/>
      <c r="AT44" s="213"/>
      <c r="AU44" s="213"/>
      <c r="AV44" s="213"/>
      <c r="AW44" s="9"/>
    </row>
    <row r="45" spans="3:50" ht="15.75" x14ac:dyDescent="0.2">
      <c r="C45" s="464"/>
      <c r="D45" s="464"/>
      <c r="E45" s="464"/>
      <c r="F45" s="464"/>
      <c r="G45" s="464"/>
      <c r="H45" s="464"/>
      <c r="I45" s="464"/>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O45" s="6"/>
      <c r="AP45" s="6"/>
      <c r="AQ45" s="6"/>
      <c r="AR45" s="6"/>
      <c r="AS45" s="6"/>
      <c r="AT45" s="6"/>
      <c r="AU45" s="6"/>
      <c r="AV45" s="6"/>
      <c r="AW45" s="6"/>
    </row>
  </sheetData>
  <sheetProtection selectLockedCells="1"/>
  <dataConsolidate/>
  <mergeCells count="97">
    <mergeCell ref="C33:I33"/>
    <mergeCell ref="C31:I31"/>
    <mergeCell ref="C34:I35"/>
    <mergeCell ref="AN21:AQ21"/>
    <mergeCell ref="E30:N30"/>
    <mergeCell ref="P30:S30"/>
    <mergeCell ref="U30:AB30"/>
    <mergeCell ref="C24:I24"/>
    <mergeCell ref="C26:I26"/>
    <mergeCell ref="P26:S26"/>
    <mergeCell ref="U26:AB26"/>
    <mergeCell ref="AI30:AL30"/>
    <mergeCell ref="C25:F25"/>
    <mergeCell ref="AS21:AV21"/>
    <mergeCell ref="P23:AG23"/>
    <mergeCell ref="AI23:AL23"/>
    <mergeCell ref="AD31:AG31"/>
    <mergeCell ref="AI31:AL31"/>
    <mergeCell ref="AN31:AQ31"/>
    <mergeCell ref="AS31:AV31"/>
    <mergeCell ref="AS30:AV30"/>
    <mergeCell ref="AS23:AV23"/>
    <mergeCell ref="AN23:AQ23"/>
    <mergeCell ref="AI21:AL21"/>
    <mergeCell ref="P25:AG25"/>
    <mergeCell ref="AI25:AL25"/>
    <mergeCell ref="AN25:AQ25"/>
    <mergeCell ref="AS25:AV25"/>
    <mergeCell ref="AD14:AG14"/>
    <mergeCell ref="AI14:AL14"/>
    <mergeCell ref="AN14:AQ14"/>
    <mergeCell ref="AS15:AV15"/>
    <mergeCell ref="AI17:AL17"/>
    <mergeCell ref="AN17:AQ17"/>
    <mergeCell ref="AS17:AV17"/>
    <mergeCell ref="P17:AG17"/>
    <mergeCell ref="U14:AB14"/>
    <mergeCell ref="AS14:AV14"/>
    <mergeCell ref="AS18:AV18"/>
    <mergeCell ref="AI19:AL19"/>
    <mergeCell ref="AN19:AQ19"/>
    <mergeCell ref="AS19:AV19"/>
    <mergeCell ref="AI18:AL18"/>
    <mergeCell ref="AN18:AQ18"/>
    <mergeCell ref="C6:I6"/>
    <mergeCell ref="C8:I8"/>
    <mergeCell ref="P8:S8"/>
    <mergeCell ref="E9:N9"/>
    <mergeCell ref="P9:S9"/>
    <mergeCell ref="C7:AW7"/>
    <mergeCell ref="C20:I20"/>
    <mergeCell ref="P18:S18"/>
    <mergeCell ref="E18:N18"/>
    <mergeCell ref="C23:F23"/>
    <mergeCell ref="C17:F17"/>
    <mergeCell ref="C19:F19"/>
    <mergeCell ref="C22:I22"/>
    <mergeCell ref="C21:F21"/>
    <mergeCell ref="P21:AG21"/>
    <mergeCell ref="P19:AG19"/>
    <mergeCell ref="U18:AB18"/>
    <mergeCell ref="AD18:AG18"/>
    <mergeCell ref="AO1:AV1"/>
    <mergeCell ref="AD5:AG5"/>
    <mergeCell ref="AI5:AL5"/>
    <mergeCell ref="AN5:AQ5"/>
    <mergeCell ref="AS5:AV5"/>
    <mergeCell ref="N2:AW2"/>
    <mergeCell ref="U8:AB8"/>
    <mergeCell ref="AD8:AG8"/>
    <mergeCell ref="AI8:AL8"/>
    <mergeCell ref="AN8:AQ8"/>
    <mergeCell ref="AS8:AV8"/>
    <mergeCell ref="U9:AB9"/>
    <mergeCell ref="AD9:AG9"/>
    <mergeCell ref="AI9:AL9"/>
    <mergeCell ref="AN9:AQ9"/>
    <mergeCell ref="P12:AG12"/>
    <mergeCell ref="AS9:AV9"/>
    <mergeCell ref="AD10:AG10"/>
    <mergeCell ref="AI10:AL10"/>
    <mergeCell ref="AN10:AQ10"/>
    <mergeCell ref="AS10:AV10"/>
    <mergeCell ref="C36:I36"/>
    <mergeCell ref="C37:I37"/>
    <mergeCell ref="P37:S37"/>
    <mergeCell ref="U37:AB37"/>
    <mergeCell ref="AD37:AG37"/>
    <mergeCell ref="C45:I45"/>
    <mergeCell ref="AI37:AL37"/>
    <mergeCell ref="AN37:AQ37"/>
    <mergeCell ref="AS37:AV37"/>
    <mergeCell ref="C43:I43"/>
    <mergeCell ref="AD43:AG43"/>
    <mergeCell ref="AI43:AL43"/>
    <mergeCell ref="AN43:AQ43"/>
    <mergeCell ref="AS43:AV43"/>
  </mergeCells>
  <printOptions horizontalCentered="1"/>
  <pageMargins left="0.19685039370078741" right="0.19685039370078741" top="0.35433070866141736" bottom="0.47244094488188981" header="0.19685039370078741" footer="0.23622047244094491"/>
  <pageSetup paperSize="9" scale="59" orientation="portrait" cellComments="asDisplayed" r:id="rId1"/>
  <headerFooter alignWithMargins="0">
    <oddFooter>&amp;L&amp;9&amp;GAide à l'écriture jeu vidéo
&amp;R&amp;9 4_Accord répartition</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Z58"/>
  <sheetViews>
    <sheetView showGridLines="0" view="pageBreakPreview" zoomScaleNormal="100" zoomScaleSheetLayoutView="100" workbookViewId="0">
      <selection activeCell="X29" sqref="X29"/>
    </sheetView>
  </sheetViews>
  <sheetFormatPr baseColWidth="10" defaultColWidth="11.42578125" defaultRowHeight="12.75" x14ac:dyDescent="0.2"/>
  <cols>
    <col min="1" max="23" width="3.7109375" style="111" customWidth="1"/>
    <col min="24" max="24" width="22.28515625" style="111" customWidth="1"/>
    <col min="25" max="26" width="3.7109375" style="111" customWidth="1"/>
    <col min="27" max="27" width="8.140625" style="111" customWidth="1"/>
    <col min="28" max="42" width="3.7109375" style="111" customWidth="1"/>
    <col min="43" max="16384" width="11.42578125" style="111"/>
  </cols>
  <sheetData>
    <row r="2" spans="2:24" ht="39.75" customHeight="1" x14ac:dyDescent="0.2">
      <c r="J2" s="370" t="s">
        <v>125</v>
      </c>
      <c r="K2" s="371"/>
      <c r="L2" s="371"/>
      <c r="M2" s="371"/>
      <c r="N2" s="371"/>
      <c r="O2" s="371"/>
      <c r="P2" s="371"/>
      <c r="Q2" s="371"/>
      <c r="R2" s="371"/>
      <c r="S2" s="371"/>
      <c r="T2" s="371"/>
      <c r="U2" s="371"/>
      <c r="V2" s="371"/>
      <c r="W2" s="371"/>
      <c r="X2" s="371"/>
    </row>
    <row r="3" spans="2:24" ht="12.6" customHeight="1" x14ac:dyDescent="0.2"/>
    <row r="4" spans="2:24" ht="12.6" customHeight="1" x14ac:dyDescent="0.2">
      <c r="B4" s="220" t="s">
        <v>176</v>
      </c>
      <c r="C4" s="184" t="s">
        <v>213</v>
      </c>
    </row>
    <row r="5" spans="2:24" ht="12.6" customHeight="1" x14ac:dyDescent="0.2">
      <c r="B5" s="219"/>
      <c r="C5" s="184" t="s">
        <v>189</v>
      </c>
    </row>
    <row r="6" spans="2:24" s="130" customFormat="1" ht="14.1" customHeight="1" x14ac:dyDescent="0.2"/>
    <row r="7" spans="2:24" s="129" customFormat="1" ht="15" customHeight="1" x14ac:dyDescent="0.2">
      <c r="B7" s="505" t="s">
        <v>214</v>
      </c>
      <c r="C7" s="506"/>
      <c r="D7" s="506"/>
      <c r="E7" s="506"/>
      <c r="F7" s="506"/>
      <c r="G7" s="506"/>
      <c r="H7" s="506"/>
      <c r="I7" s="506"/>
      <c r="J7" s="506"/>
      <c r="K7" s="506"/>
      <c r="L7" s="506"/>
      <c r="M7" s="506"/>
      <c r="N7" s="506"/>
      <c r="O7" s="506"/>
      <c r="P7" s="506"/>
      <c r="Q7" s="506"/>
      <c r="R7" s="506"/>
      <c r="S7" s="506"/>
      <c r="T7" s="506"/>
      <c r="U7" s="506"/>
      <c r="V7" s="506"/>
      <c r="W7" s="507"/>
      <c r="X7" s="503" t="s">
        <v>112</v>
      </c>
    </row>
    <row r="8" spans="2:24" s="129" customFormat="1" ht="15" customHeight="1" x14ac:dyDescent="0.2">
      <c r="B8" s="508"/>
      <c r="C8" s="509"/>
      <c r="D8" s="509"/>
      <c r="E8" s="509"/>
      <c r="F8" s="509"/>
      <c r="G8" s="509"/>
      <c r="H8" s="509"/>
      <c r="I8" s="509"/>
      <c r="J8" s="509"/>
      <c r="K8" s="509"/>
      <c r="L8" s="509"/>
      <c r="M8" s="509"/>
      <c r="N8" s="509"/>
      <c r="O8" s="509"/>
      <c r="P8" s="509"/>
      <c r="Q8" s="509"/>
      <c r="R8" s="509"/>
      <c r="S8" s="509"/>
      <c r="T8" s="509"/>
      <c r="U8" s="509"/>
      <c r="V8" s="509"/>
      <c r="W8" s="510"/>
      <c r="X8" s="504"/>
    </row>
    <row r="9" spans="2:24" s="129" customFormat="1" ht="15" customHeight="1" x14ac:dyDescent="0.2">
      <c r="B9" s="511" t="s">
        <v>187</v>
      </c>
      <c r="C9" s="512"/>
      <c r="D9" s="512"/>
      <c r="E9" s="512"/>
      <c r="F9" s="512"/>
      <c r="G9" s="512"/>
      <c r="H9" s="512"/>
      <c r="I9" s="512"/>
      <c r="J9" s="512"/>
      <c r="K9" s="512"/>
      <c r="L9" s="512"/>
      <c r="M9" s="512"/>
      <c r="N9" s="513"/>
      <c r="O9" s="517"/>
      <c r="P9" s="512"/>
      <c r="Q9" s="512"/>
      <c r="R9" s="512"/>
      <c r="S9" s="512"/>
      <c r="T9" s="512"/>
      <c r="U9" s="512"/>
      <c r="V9" s="512"/>
      <c r="W9" s="518"/>
      <c r="X9" s="264"/>
    </row>
    <row r="10" spans="2:24" s="129" customFormat="1" ht="15" customHeight="1" x14ac:dyDescent="0.2">
      <c r="B10" s="492" t="s">
        <v>184</v>
      </c>
      <c r="C10" s="493"/>
      <c r="D10" s="493"/>
      <c r="E10" s="493"/>
      <c r="F10" s="493"/>
      <c r="G10" s="493"/>
      <c r="H10" s="493"/>
      <c r="I10" s="493"/>
      <c r="J10" s="493"/>
      <c r="K10" s="493"/>
      <c r="L10" s="493"/>
      <c r="M10" s="493"/>
      <c r="N10" s="494"/>
      <c r="O10" s="514" t="s">
        <v>177</v>
      </c>
      <c r="P10" s="515"/>
      <c r="Q10" s="515"/>
      <c r="R10" s="515"/>
      <c r="S10" s="515"/>
      <c r="T10" s="515"/>
      <c r="U10" s="515"/>
      <c r="V10" s="515"/>
      <c r="W10" s="516"/>
      <c r="X10" s="265"/>
    </row>
    <row r="11" spans="2:24" s="129" customFormat="1" ht="15" customHeight="1" x14ac:dyDescent="0.2">
      <c r="B11" s="492"/>
      <c r="C11" s="493"/>
      <c r="D11" s="493"/>
      <c r="E11" s="493"/>
      <c r="F11" s="493"/>
      <c r="G11" s="493"/>
      <c r="H11" s="493"/>
      <c r="I11" s="493"/>
      <c r="J11" s="493"/>
      <c r="K11" s="493"/>
      <c r="L11" s="493"/>
      <c r="M11" s="493"/>
      <c r="N11" s="494"/>
      <c r="O11" s="514" t="s">
        <v>190</v>
      </c>
      <c r="P11" s="515"/>
      <c r="Q11" s="515"/>
      <c r="R11" s="515"/>
      <c r="S11" s="515"/>
      <c r="T11" s="515"/>
      <c r="U11" s="515"/>
      <c r="V11" s="515"/>
      <c r="W11" s="516"/>
      <c r="X11" s="265"/>
    </row>
    <row r="12" spans="2:24" x14ac:dyDescent="0.2">
      <c r="B12" s="500"/>
      <c r="C12" s="501"/>
      <c r="D12" s="501"/>
      <c r="E12" s="501"/>
      <c r="F12" s="501"/>
      <c r="G12" s="501"/>
      <c r="H12" s="501"/>
      <c r="I12" s="501"/>
      <c r="J12" s="501"/>
      <c r="K12" s="501"/>
      <c r="L12" s="501"/>
      <c r="M12" s="501"/>
      <c r="N12" s="502"/>
      <c r="O12" s="498" t="s">
        <v>178</v>
      </c>
      <c r="P12" s="487"/>
      <c r="Q12" s="487"/>
      <c r="R12" s="487"/>
      <c r="S12" s="487"/>
      <c r="T12" s="487"/>
      <c r="U12" s="487"/>
      <c r="V12" s="487"/>
      <c r="W12" s="499"/>
      <c r="X12" s="266"/>
    </row>
    <row r="13" spans="2:24" x14ac:dyDescent="0.2">
      <c r="B13" s="500" t="s">
        <v>185</v>
      </c>
      <c r="C13" s="501"/>
      <c r="D13" s="501"/>
      <c r="E13" s="501"/>
      <c r="F13" s="501"/>
      <c r="G13" s="501"/>
      <c r="H13" s="501"/>
      <c r="I13" s="501"/>
      <c r="J13" s="501"/>
      <c r="K13" s="501"/>
      <c r="L13" s="501"/>
      <c r="M13" s="501"/>
      <c r="N13" s="502"/>
      <c r="O13" s="498" t="s">
        <v>192</v>
      </c>
      <c r="P13" s="487"/>
      <c r="Q13" s="487"/>
      <c r="R13" s="487"/>
      <c r="S13" s="487"/>
      <c r="T13" s="487"/>
      <c r="U13" s="487"/>
      <c r="V13" s="487"/>
      <c r="W13" s="499"/>
      <c r="X13" s="266"/>
    </row>
    <row r="14" spans="2:24" s="130" customFormat="1" x14ac:dyDescent="0.2">
      <c r="B14" s="486"/>
      <c r="C14" s="487"/>
      <c r="D14" s="487"/>
      <c r="E14" s="487"/>
      <c r="F14" s="487"/>
      <c r="G14" s="487"/>
      <c r="H14" s="487"/>
      <c r="I14" s="487"/>
      <c r="J14" s="487"/>
      <c r="K14" s="487"/>
      <c r="L14" s="487"/>
      <c r="M14" s="487"/>
      <c r="N14" s="488"/>
      <c r="O14" s="498" t="s">
        <v>179</v>
      </c>
      <c r="P14" s="487"/>
      <c r="Q14" s="487"/>
      <c r="R14" s="487"/>
      <c r="S14" s="487"/>
      <c r="T14" s="487"/>
      <c r="U14" s="487"/>
      <c r="V14" s="487"/>
      <c r="W14" s="499"/>
      <c r="X14" s="266"/>
    </row>
    <row r="15" spans="2:24" s="129" customFormat="1" ht="15" customHeight="1" x14ac:dyDescent="0.2">
      <c r="B15" s="492" t="s">
        <v>186</v>
      </c>
      <c r="C15" s="493"/>
      <c r="D15" s="493"/>
      <c r="E15" s="493"/>
      <c r="F15" s="493"/>
      <c r="G15" s="493"/>
      <c r="H15" s="493"/>
      <c r="I15" s="493"/>
      <c r="J15" s="493"/>
      <c r="K15" s="493"/>
      <c r="L15" s="493"/>
      <c r="M15" s="493"/>
      <c r="N15" s="494"/>
      <c r="O15" s="498" t="s">
        <v>180</v>
      </c>
      <c r="P15" s="487"/>
      <c r="Q15" s="487"/>
      <c r="R15" s="487"/>
      <c r="S15" s="487"/>
      <c r="T15" s="487"/>
      <c r="U15" s="487"/>
      <c r="V15" s="487"/>
      <c r="W15" s="499"/>
      <c r="X15" s="266"/>
    </row>
    <row r="16" spans="2:24" s="129" customFormat="1" ht="15" customHeight="1" x14ac:dyDescent="0.2">
      <c r="B16" s="492" t="s">
        <v>188</v>
      </c>
      <c r="C16" s="493"/>
      <c r="D16" s="493"/>
      <c r="E16" s="493"/>
      <c r="F16" s="493"/>
      <c r="G16" s="493"/>
      <c r="H16" s="493"/>
      <c r="I16" s="493"/>
      <c r="J16" s="493"/>
      <c r="K16" s="493"/>
      <c r="L16" s="493"/>
      <c r="M16" s="493"/>
      <c r="N16" s="494"/>
      <c r="O16" s="498" t="s">
        <v>181</v>
      </c>
      <c r="P16" s="487"/>
      <c r="Q16" s="487"/>
      <c r="R16" s="487"/>
      <c r="S16" s="487"/>
      <c r="T16" s="487"/>
      <c r="U16" s="487"/>
      <c r="V16" s="487"/>
      <c r="W16" s="499"/>
      <c r="X16" s="266"/>
    </row>
    <row r="17" spans="2:26" s="129" customFormat="1" ht="15" customHeight="1" x14ac:dyDescent="0.2">
      <c r="B17" s="492" t="s">
        <v>182</v>
      </c>
      <c r="C17" s="493"/>
      <c r="D17" s="493"/>
      <c r="E17" s="493"/>
      <c r="F17" s="493"/>
      <c r="G17" s="493"/>
      <c r="H17" s="493"/>
      <c r="I17" s="493"/>
      <c r="J17" s="493"/>
      <c r="K17" s="493"/>
      <c r="L17" s="493"/>
      <c r="M17" s="493"/>
      <c r="N17" s="494"/>
      <c r="O17" s="498" t="s">
        <v>183</v>
      </c>
      <c r="P17" s="487"/>
      <c r="Q17" s="487"/>
      <c r="R17" s="487"/>
      <c r="S17" s="487"/>
      <c r="T17" s="487"/>
      <c r="U17" s="487"/>
      <c r="V17" s="487"/>
      <c r="W17" s="499"/>
      <c r="X17" s="266"/>
    </row>
    <row r="18" spans="2:26" x14ac:dyDescent="0.2">
      <c r="B18" s="495"/>
      <c r="C18" s="496"/>
      <c r="D18" s="496"/>
      <c r="E18" s="496"/>
      <c r="F18" s="496"/>
      <c r="G18" s="496"/>
      <c r="H18" s="496"/>
      <c r="I18" s="496"/>
      <c r="J18" s="496"/>
      <c r="K18" s="496"/>
      <c r="L18" s="496"/>
      <c r="M18" s="496"/>
      <c r="N18" s="497"/>
      <c r="O18" s="498"/>
      <c r="P18" s="487"/>
      <c r="Q18" s="487"/>
      <c r="R18" s="487"/>
      <c r="S18" s="487"/>
      <c r="T18" s="487"/>
      <c r="U18" s="487"/>
      <c r="V18" s="487"/>
      <c r="W18" s="499"/>
      <c r="X18" s="266"/>
    </row>
    <row r="19" spans="2:26" ht="13.5" thickBot="1" x14ac:dyDescent="0.25">
      <c r="B19" s="522" t="s">
        <v>113</v>
      </c>
      <c r="C19" s="523"/>
      <c r="D19" s="523"/>
      <c r="E19" s="523"/>
      <c r="F19" s="523"/>
      <c r="G19" s="523"/>
      <c r="H19" s="523"/>
      <c r="I19" s="523"/>
      <c r="J19" s="523"/>
      <c r="K19" s="523"/>
      <c r="L19" s="523"/>
      <c r="M19" s="523"/>
      <c r="N19" s="523"/>
      <c r="O19" s="523"/>
      <c r="P19" s="523"/>
      <c r="Q19" s="523"/>
      <c r="R19" s="523"/>
      <c r="S19" s="523"/>
      <c r="T19" s="523"/>
      <c r="U19" s="523"/>
      <c r="V19" s="523"/>
      <c r="W19" s="531"/>
      <c r="X19" s="267">
        <f>SUM(X9:X18)</f>
        <v>0</v>
      </c>
      <c r="Y19" s="130"/>
    </row>
    <row r="20" spans="2:26" s="132" customFormat="1" ht="14.45" customHeight="1" thickBot="1" x14ac:dyDescent="0.25">
      <c r="B20" s="131"/>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row>
    <row r="21" spans="2:26" ht="12.6" customHeight="1" x14ac:dyDescent="0.2">
      <c r="B21" s="525" t="s">
        <v>114</v>
      </c>
      <c r="C21" s="526"/>
      <c r="D21" s="526"/>
      <c r="E21" s="526"/>
      <c r="F21" s="526"/>
      <c r="G21" s="526"/>
      <c r="H21" s="526"/>
      <c r="I21" s="526"/>
      <c r="J21" s="526"/>
      <c r="K21" s="526"/>
      <c r="L21" s="526"/>
      <c r="M21" s="526"/>
      <c r="N21" s="526"/>
      <c r="O21" s="526"/>
      <c r="P21" s="526"/>
      <c r="Q21" s="526"/>
      <c r="R21" s="526"/>
      <c r="S21" s="526"/>
      <c r="T21" s="526"/>
      <c r="U21" s="526"/>
      <c r="V21" s="526"/>
      <c r="W21" s="527"/>
      <c r="X21" s="520" t="s">
        <v>112</v>
      </c>
      <c r="Y21" s="130"/>
      <c r="Z21" s="130"/>
    </row>
    <row r="22" spans="2:26" ht="12.75" customHeight="1" thickBot="1" x14ac:dyDescent="0.25">
      <c r="B22" s="528"/>
      <c r="C22" s="529"/>
      <c r="D22" s="529"/>
      <c r="E22" s="529"/>
      <c r="F22" s="529"/>
      <c r="G22" s="529"/>
      <c r="H22" s="529"/>
      <c r="I22" s="529"/>
      <c r="J22" s="529"/>
      <c r="K22" s="529"/>
      <c r="L22" s="529"/>
      <c r="M22" s="529"/>
      <c r="N22" s="529"/>
      <c r="O22" s="529"/>
      <c r="P22" s="529"/>
      <c r="Q22" s="529"/>
      <c r="R22" s="529"/>
      <c r="S22" s="529"/>
      <c r="T22" s="529"/>
      <c r="U22" s="529"/>
      <c r="V22" s="529"/>
      <c r="W22" s="530"/>
      <c r="X22" s="521"/>
      <c r="Y22" s="130"/>
      <c r="Z22" s="130"/>
    </row>
    <row r="23" spans="2:26" x14ac:dyDescent="0.2">
      <c r="B23" s="549" t="s">
        <v>139</v>
      </c>
      <c r="C23" s="550"/>
      <c r="D23" s="550"/>
      <c r="E23" s="550"/>
      <c r="F23" s="550"/>
      <c r="G23" s="550"/>
      <c r="H23" s="550"/>
      <c r="I23" s="550"/>
      <c r="J23" s="550"/>
      <c r="K23" s="550"/>
      <c r="L23" s="550"/>
      <c r="M23" s="550"/>
      <c r="N23" s="551"/>
      <c r="O23" s="489" t="s">
        <v>140</v>
      </c>
      <c r="P23" s="490"/>
      <c r="Q23" s="490"/>
      <c r="R23" s="490"/>
      <c r="S23" s="490"/>
      <c r="T23" s="490"/>
      <c r="U23" s="490"/>
      <c r="V23" s="490"/>
      <c r="W23" s="491"/>
      <c r="X23" s="268"/>
      <c r="Y23" s="130"/>
      <c r="Z23" s="130"/>
    </row>
    <row r="24" spans="2:26" x14ac:dyDescent="0.2">
      <c r="B24" s="543"/>
      <c r="C24" s="544"/>
      <c r="D24" s="544"/>
      <c r="E24" s="544"/>
      <c r="F24" s="544"/>
      <c r="G24" s="544"/>
      <c r="H24" s="544"/>
      <c r="I24" s="544"/>
      <c r="J24" s="544"/>
      <c r="K24" s="544"/>
      <c r="L24" s="544"/>
      <c r="M24" s="544"/>
      <c r="N24" s="545"/>
      <c r="O24" s="546"/>
      <c r="P24" s="547"/>
      <c r="Q24" s="547"/>
      <c r="R24" s="547"/>
      <c r="S24" s="547"/>
      <c r="T24" s="547"/>
      <c r="U24" s="547"/>
      <c r="V24" s="547"/>
      <c r="W24" s="548"/>
      <c r="X24" s="269"/>
      <c r="Y24" s="130"/>
      <c r="Z24" s="130"/>
    </row>
    <row r="25" spans="2:26" x14ac:dyDescent="0.2">
      <c r="B25" s="532"/>
      <c r="C25" s="533"/>
      <c r="D25" s="533"/>
      <c r="E25" s="533"/>
      <c r="F25" s="533"/>
      <c r="G25" s="533"/>
      <c r="H25" s="533"/>
      <c r="I25" s="533"/>
      <c r="J25" s="533"/>
      <c r="K25" s="533"/>
      <c r="L25" s="533"/>
      <c r="M25" s="533"/>
      <c r="N25" s="534"/>
      <c r="O25" s="538" t="s">
        <v>142</v>
      </c>
      <c r="P25" s="493"/>
      <c r="Q25" s="493"/>
      <c r="R25" s="493"/>
      <c r="S25" s="493"/>
      <c r="T25" s="493"/>
      <c r="U25" s="493"/>
      <c r="V25" s="493"/>
      <c r="W25" s="539"/>
      <c r="X25" s="269"/>
      <c r="Y25" s="130"/>
      <c r="Z25" s="130"/>
    </row>
    <row r="26" spans="2:26" s="129" customFormat="1" ht="15" customHeight="1" x14ac:dyDescent="0.2">
      <c r="B26" s="532"/>
      <c r="C26" s="533"/>
      <c r="D26" s="533"/>
      <c r="E26" s="533"/>
      <c r="F26" s="533"/>
      <c r="G26" s="533"/>
      <c r="H26" s="533"/>
      <c r="I26" s="533"/>
      <c r="J26" s="533"/>
      <c r="K26" s="533"/>
      <c r="L26" s="533"/>
      <c r="M26" s="533"/>
      <c r="N26" s="534"/>
      <c r="O26" s="540"/>
      <c r="P26" s="541"/>
      <c r="Q26" s="541"/>
      <c r="R26" s="541"/>
      <c r="S26" s="541"/>
      <c r="T26" s="541"/>
      <c r="U26" s="541"/>
      <c r="V26" s="541"/>
      <c r="W26" s="542"/>
      <c r="X26" s="269"/>
    </row>
    <row r="27" spans="2:26" s="128" customFormat="1" ht="12.75" customHeight="1" x14ac:dyDescent="0.2">
      <c r="B27" s="532"/>
      <c r="C27" s="533"/>
      <c r="D27" s="533"/>
      <c r="E27" s="533"/>
      <c r="F27" s="533"/>
      <c r="G27" s="533"/>
      <c r="H27" s="533"/>
      <c r="I27" s="533"/>
      <c r="J27" s="533"/>
      <c r="K27" s="533"/>
      <c r="L27" s="533"/>
      <c r="M27" s="533"/>
      <c r="N27" s="534"/>
      <c r="O27" s="538" t="s">
        <v>141</v>
      </c>
      <c r="P27" s="493"/>
      <c r="Q27" s="493"/>
      <c r="R27" s="493"/>
      <c r="S27" s="493"/>
      <c r="T27" s="493"/>
      <c r="U27" s="493"/>
      <c r="V27" s="493"/>
      <c r="W27" s="539"/>
      <c r="X27" s="269"/>
    </row>
    <row r="28" spans="2:26" x14ac:dyDescent="0.2">
      <c r="B28" s="532"/>
      <c r="C28" s="533"/>
      <c r="D28" s="533"/>
      <c r="E28" s="533"/>
      <c r="F28" s="533"/>
      <c r="G28" s="533"/>
      <c r="H28" s="533"/>
      <c r="I28" s="533"/>
      <c r="J28" s="533"/>
      <c r="K28" s="533"/>
      <c r="L28" s="533"/>
      <c r="M28" s="533"/>
      <c r="N28" s="534"/>
      <c r="O28" s="535"/>
      <c r="P28" s="536"/>
      <c r="Q28" s="536"/>
      <c r="R28" s="536"/>
      <c r="S28" s="536"/>
      <c r="T28" s="536"/>
      <c r="U28" s="536"/>
      <c r="V28" s="536"/>
      <c r="W28" s="537"/>
      <c r="X28" s="269"/>
    </row>
    <row r="29" spans="2:26" s="122" customFormat="1" ht="13.5" thickBot="1" x14ac:dyDescent="0.25">
      <c r="B29" s="522" t="s">
        <v>113</v>
      </c>
      <c r="C29" s="523"/>
      <c r="D29" s="523"/>
      <c r="E29" s="523"/>
      <c r="F29" s="523"/>
      <c r="G29" s="523"/>
      <c r="H29" s="523"/>
      <c r="I29" s="523"/>
      <c r="J29" s="523"/>
      <c r="K29" s="523"/>
      <c r="L29" s="523"/>
      <c r="M29" s="523"/>
      <c r="N29" s="523"/>
      <c r="O29" s="523"/>
      <c r="P29" s="523"/>
      <c r="Q29" s="523"/>
      <c r="R29" s="523"/>
      <c r="S29" s="523"/>
      <c r="T29" s="523"/>
      <c r="U29" s="523"/>
      <c r="V29" s="523"/>
      <c r="W29" s="524"/>
      <c r="X29" s="270">
        <f>SUM(X23:X28)</f>
        <v>0</v>
      </c>
    </row>
    <row r="30" spans="2:26" s="122" customFormat="1" ht="11.45" customHeight="1" x14ac:dyDescent="0.2">
      <c r="N30" s="123"/>
      <c r="O30" s="123"/>
      <c r="P30" s="123"/>
      <c r="Q30" s="123"/>
      <c r="R30" s="123"/>
      <c r="S30" s="123"/>
      <c r="T30" s="123"/>
      <c r="U30" s="123"/>
      <c r="V30" s="123"/>
      <c r="W30" s="123"/>
      <c r="X30" s="123"/>
    </row>
    <row r="31" spans="2:26" s="122" customFormat="1" ht="12" customHeight="1" x14ac:dyDescent="0.2">
      <c r="B31" s="184" t="s">
        <v>191</v>
      </c>
      <c r="N31" s="123"/>
      <c r="O31" s="123"/>
      <c r="P31" s="123"/>
      <c r="Q31" s="123"/>
      <c r="R31" s="123"/>
      <c r="S31" s="123"/>
      <c r="T31" s="123"/>
      <c r="U31" s="123"/>
      <c r="V31" s="123"/>
      <c r="W31" s="123"/>
      <c r="X31" s="123"/>
    </row>
    <row r="32" spans="2:26" s="122" customFormat="1" ht="12" customHeight="1" x14ac:dyDescent="0.2">
      <c r="B32" s="184" t="s">
        <v>215</v>
      </c>
      <c r="N32" s="123"/>
      <c r="O32" s="123"/>
      <c r="P32" s="123"/>
      <c r="Q32" s="123"/>
      <c r="R32" s="123"/>
      <c r="S32" s="123"/>
      <c r="T32" s="123"/>
      <c r="U32" s="123"/>
      <c r="V32" s="123"/>
      <c r="W32" s="123"/>
      <c r="X32" s="123"/>
    </row>
    <row r="33" spans="2:24" s="122" customFormat="1" ht="12" customHeight="1" x14ac:dyDescent="0.2">
      <c r="B33" s="221" t="s">
        <v>143</v>
      </c>
      <c r="G33" s="183"/>
      <c r="H33" s="183"/>
      <c r="I33" s="183"/>
      <c r="J33" s="183"/>
      <c r="K33" s="183"/>
      <c r="L33" s="183"/>
      <c r="M33" s="183"/>
      <c r="N33" s="183"/>
      <c r="O33" s="183"/>
      <c r="P33" s="183"/>
      <c r="Q33" s="183"/>
      <c r="R33" s="183"/>
      <c r="S33" s="183"/>
      <c r="T33" s="182"/>
    </row>
    <row r="34" spans="2:24" s="122" customFormat="1" ht="12" x14ac:dyDescent="0.2">
      <c r="B34" s="123"/>
      <c r="G34" s="121"/>
      <c r="H34" s="121"/>
      <c r="I34" s="121"/>
      <c r="J34" s="121"/>
      <c r="K34" s="121"/>
      <c r="L34" s="121"/>
      <c r="M34" s="121"/>
      <c r="N34" s="121"/>
      <c r="O34" s="121"/>
      <c r="P34" s="121"/>
      <c r="Q34" s="121"/>
      <c r="R34" s="121"/>
      <c r="S34" s="121"/>
      <c r="T34" s="121"/>
    </row>
    <row r="35" spans="2:24" s="122" customFormat="1" ht="12" x14ac:dyDescent="0.2"/>
    <row r="36" spans="2:24" s="122" customFormat="1" ht="12" x14ac:dyDescent="0.2"/>
    <row r="37" spans="2:24" s="122" customFormat="1" ht="12" x14ac:dyDescent="0.2"/>
    <row r="39" spans="2:24" x14ac:dyDescent="0.2">
      <c r="N39" s="84"/>
      <c r="O39" s="84"/>
      <c r="P39" s="84"/>
      <c r="Q39" s="84"/>
      <c r="R39" s="84"/>
      <c r="S39" s="84"/>
      <c r="T39" s="84"/>
    </row>
    <row r="40" spans="2:24" x14ac:dyDescent="0.2">
      <c r="B40" s="519"/>
      <c r="C40" s="519"/>
      <c r="D40" s="519"/>
      <c r="E40" s="519"/>
      <c r="F40" s="519"/>
      <c r="G40" s="519"/>
      <c r="H40" s="519"/>
      <c r="I40" s="519"/>
      <c r="J40" s="519"/>
      <c r="K40" s="519"/>
      <c r="L40" s="519"/>
      <c r="M40" s="519"/>
      <c r="N40" s="519"/>
      <c r="O40" s="519"/>
      <c r="P40" s="519"/>
      <c r="Q40" s="519"/>
      <c r="R40" s="519"/>
      <c r="S40" s="519"/>
      <c r="T40" s="519"/>
      <c r="U40" s="519"/>
      <c r="V40" s="127"/>
      <c r="W40" s="127"/>
      <c r="X40" s="127"/>
    </row>
    <row r="42" spans="2:24" x14ac:dyDescent="0.2">
      <c r="B42" s="122"/>
      <c r="C42" s="122"/>
      <c r="D42" s="122"/>
      <c r="E42" s="122"/>
      <c r="F42" s="122"/>
      <c r="G42" s="122"/>
      <c r="H42" s="122"/>
      <c r="I42" s="122"/>
      <c r="J42" s="122"/>
      <c r="K42" s="122"/>
      <c r="L42" s="122"/>
      <c r="M42" s="122"/>
      <c r="N42" s="122"/>
      <c r="O42" s="122"/>
      <c r="P42" s="122"/>
      <c r="Q42" s="122"/>
      <c r="R42" s="122"/>
      <c r="S42" s="122"/>
      <c r="T42" s="122"/>
    </row>
    <row r="43" spans="2:24" ht="6" customHeight="1" x14ac:dyDescent="0.2"/>
    <row r="44" spans="2:24" x14ac:dyDescent="0.2">
      <c r="B44" s="122"/>
      <c r="C44" s="122"/>
      <c r="D44" s="122"/>
      <c r="E44" s="122"/>
      <c r="F44" s="122"/>
      <c r="G44" s="122"/>
      <c r="H44" s="122"/>
      <c r="I44" s="122"/>
      <c r="J44" s="122"/>
      <c r="K44" s="122"/>
      <c r="L44" s="122"/>
      <c r="M44" s="122"/>
      <c r="N44" s="122"/>
      <c r="O44" s="122"/>
      <c r="P44" s="122"/>
      <c r="Q44" s="122"/>
      <c r="R44" s="122"/>
      <c r="S44" s="122"/>
      <c r="T44" s="122"/>
      <c r="U44" s="122"/>
      <c r="V44" s="122"/>
      <c r="W44" s="122"/>
      <c r="X44" s="122"/>
    </row>
    <row r="45" spans="2:24" ht="6" customHeight="1" x14ac:dyDescent="0.2"/>
    <row r="46" spans="2:24" x14ac:dyDescent="0.2">
      <c r="B46" s="122"/>
      <c r="C46" s="122"/>
      <c r="D46" s="122"/>
      <c r="E46" s="122"/>
      <c r="F46" s="122"/>
      <c r="G46" s="122"/>
      <c r="H46" s="122"/>
      <c r="I46" s="122"/>
      <c r="J46" s="122"/>
      <c r="K46" s="122"/>
      <c r="L46" s="122"/>
      <c r="M46" s="122"/>
      <c r="N46" s="122"/>
      <c r="O46" s="122"/>
      <c r="P46" s="122"/>
      <c r="Q46" s="122"/>
      <c r="R46" s="122"/>
      <c r="S46" s="122"/>
      <c r="T46" s="122"/>
      <c r="U46" s="122"/>
      <c r="V46" s="122"/>
      <c r="W46" s="122"/>
      <c r="X46" s="122"/>
    </row>
    <row r="47" spans="2:24" ht="4.5" customHeight="1" x14ac:dyDescent="0.2"/>
    <row r="48" spans="2:24" x14ac:dyDescent="0.2">
      <c r="C48" s="125"/>
      <c r="D48" s="125"/>
      <c r="E48" s="125"/>
      <c r="F48" s="125"/>
      <c r="G48" s="125"/>
      <c r="H48" s="125"/>
      <c r="I48" s="125"/>
      <c r="J48" s="125"/>
      <c r="K48" s="125"/>
      <c r="L48" s="125"/>
      <c r="M48" s="125"/>
      <c r="N48" s="125"/>
      <c r="O48" s="125"/>
      <c r="P48" s="125"/>
      <c r="Q48" s="125"/>
      <c r="R48" s="125"/>
      <c r="S48" s="125"/>
      <c r="T48" s="125"/>
      <c r="U48" s="126"/>
      <c r="V48" s="126"/>
      <c r="W48" s="126"/>
      <c r="X48" s="126"/>
    </row>
    <row r="49" spans="2:24" ht="4.5" customHeight="1" x14ac:dyDescent="0.2">
      <c r="C49" s="124"/>
      <c r="D49" s="124"/>
      <c r="E49" s="124"/>
      <c r="F49" s="124"/>
      <c r="G49" s="124"/>
      <c r="H49" s="124"/>
      <c r="I49" s="124"/>
      <c r="J49" s="124"/>
      <c r="K49" s="124"/>
      <c r="L49" s="124"/>
      <c r="M49" s="124"/>
      <c r="N49" s="124"/>
      <c r="O49" s="124"/>
      <c r="P49" s="124"/>
      <c r="Q49" s="124"/>
      <c r="R49" s="124"/>
      <c r="S49" s="124"/>
      <c r="T49" s="124"/>
      <c r="U49" s="124"/>
      <c r="V49" s="124"/>
      <c r="W49" s="124"/>
      <c r="X49" s="124"/>
    </row>
    <row r="50" spans="2:24" x14ac:dyDescent="0.2">
      <c r="C50" s="125"/>
      <c r="D50" s="125"/>
      <c r="E50" s="125"/>
      <c r="F50" s="125"/>
      <c r="G50" s="125"/>
      <c r="H50" s="125"/>
      <c r="I50" s="125"/>
      <c r="J50" s="125"/>
      <c r="K50" s="125"/>
      <c r="L50" s="125"/>
      <c r="M50" s="125"/>
      <c r="N50" s="125"/>
      <c r="O50" s="125"/>
      <c r="P50" s="125"/>
      <c r="Q50" s="125"/>
      <c r="R50" s="124"/>
      <c r="S50" s="124"/>
      <c r="T50" s="124"/>
      <c r="U50" s="124"/>
      <c r="V50" s="124"/>
      <c r="W50" s="124"/>
      <c r="X50" s="124"/>
    </row>
    <row r="51" spans="2:24" ht="4.5" customHeight="1" x14ac:dyDescent="0.2">
      <c r="C51" s="124"/>
      <c r="D51" s="124"/>
      <c r="E51" s="124"/>
      <c r="F51" s="124"/>
      <c r="G51" s="124"/>
      <c r="H51" s="124"/>
      <c r="I51" s="124"/>
      <c r="J51" s="124"/>
      <c r="K51" s="124"/>
      <c r="L51" s="124"/>
      <c r="M51" s="124"/>
      <c r="N51" s="124"/>
      <c r="O51" s="124"/>
      <c r="P51" s="124"/>
      <c r="Q51" s="124"/>
      <c r="R51" s="124"/>
      <c r="S51" s="124"/>
      <c r="T51" s="124"/>
      <c r="U51" s="124"/>
      <c r="V51" s="124"/>
      <c r="W51" s="124"/>
      <c r="X51" s="124"/>
    </row>
    <row r="52" spans="2:24" x14ac:dyDescent="0.2">
      <c r="C52" s="125"/>
      <c r="D52" s="125"/>
      <c r="E52" s="125"/>
      <c r="F52" s="125"/>
      <c r="G52" s="125"/>
      <c r="H52" s="125"/>
      <c r="I52" s="125"/>
      <c r="J52" s="125"/>
      <c r="K52" s="125"/>
      <c r="L52" s="125"/>
      <c r="M52" s="125"/>
      <c r="N52" s="125"/>
      <c r="O52" s="125"/>
      <c r="P52" s="125"/>
      <c r="Q52" s="125"/>
      <c r="R52" s="125"/>
      <c r="S52" s="125"/>
      <c r="T52" s="125"/>
      <c r="U52" s="124"/>
      <c r="V52" s="124"/>
      <c r="W52" s="124"/>
      <c r="X52" s="124"/>
    </row>
    <row r="53" spans="2:24" ht="6" customHeight="1" x14ac:dyDescent="0.2"/>
    <row r="54" spans="2:24" x14ac:dyDescent="0.2">
      <c r="B54" s="122"/>
      <c r="C54" s="122"/>
      <c r="D54" s="122"/>
      <c r="E54" s="122"/>
      <c r="F54" s="122"/>
      <c r="G54" s="122"/>
      <c r="H54" s="122"/>
      <c r="I54" s="122"/>
      <c r="J54" s="122"/>
      <c r="K54" s="122"/>
      <c r="L54" s="122"/>
      <c r="M54" s="122"/>
      <c r="N54" s="122"/>
      <c r="O54" s="122"/>
      <c r="P54" s="122"/>
      <c r="Q54" s="122"/>
      <c r="R54" s="122"/>
    </row>
    <row r="55" spans="2:24" ht="6" customHeight="1" x14ac:dyDescent="0.2"/>
    <row r="56" spans="2:24" x14ac:dyDescent="0.2">
      <c r="B56" s="122"/>
      <c r="C56" s="122"/>
      <c r="D56" s="122"/>
      <c r="E56" s="122"/>
      <c r="F56" s="122"/>
      <c r="G56" s="122"/>
      <c r="H56" s="122"/>
      <c r="I56" s="122"/>
      <c r="J56" s="122"/>
      <c r="K56" s="122"/>
      <c r="L56" s="122"/>
      <c r="M56" s="122"/>
      <c r="N56" s="122"/>
      <c r="O56" s="122"/>
      <c r="P56" s="122"/>
      <c r="Q56" s="122"/>
      <c r="R56" s="122"/>
      <c r="S56" s="122"/>
      <c r="T56" s="122"/>
    </row>
    <row r="58" spans="2:24" x14ac:dyDescent="0.2">
      <c r="B58" s="123"/>
      <c r="C58" s="122"/>
      <c r="D58" s="122"/>
      <c r="E58" s="122"/>
      <c r="F58" s="122"/>
      <c r="G58" s="121"/>
      <c r="H58" s="121"/>
      <c r="I58" s="121"/>
      <c r="J58" s="121"/>
      <c r="K58" s="121"/>
      <c r="L58" s="121"/>
      <c r="M58" s="121"/>
      <c r="N58" s="121"/>
      <c r="O58" s="121"/>
      <c r="P58" s="121"/>
      <c r="Q58" s="121"/>
      <c r="R58" s="121"/>
      <c r="S58" s="121"/>
      <c r="T58" s="121"/>
    </row>
  </sheetData>
  <sheetProtection selectLockedCells="1"/>
  <dataConsolidate/>
  <mergeCells count="40">
    <mergeCell ref="B40:U40"/>
    <mergeCell ref="X21:X22"/>
    <mergeCell ref="B29:W29"/>
    <mergeCell ref="B21:W22"/>
    <mergeCell ref="B19:W19"/>
    <mergeCell ref="B25:N25"/>
    <mergeCell ref="O28:W28"/>
    <mergeCell ref="B28:N28"/>
    <mergeCell ref="O25:W25"/>
    <mergeCell ref="O26:W26"/>
    <mergeCell ref="O27:W27"/>
    <mergeCell ref="B24:N24"/>
    <mergeCell ref="O24:W24"/>
    <mergeCell ref="B27:N27"/>
    <mergeCell ref="B26:N26"/>
    <mergeCell ref="B23:N23"/>
    <mergeCell ref="J2:X2"/>
    <mergeCell ref="B10:N10"/>
    <mergeCell ref="B11:N11"/>
    <mergeCell ref="B12:N12"/>
    <mergeCell ref="B13:N13"/>
    <mergeCell ref="X7:X8"/>
    <mergeCell ref="B7:W8"/>
    <mergeCell ref="B9:N9"/>
    <mergeCell ref="O11:W11"/>
    <mergeCell ref="O10:W10"/>
    <mergeCell ref="O9:W9"/>
    <mergeCell ref="O13:W13"/>
    <mergeCell ref="O12:W12"/>
    <mergeCell ref="B14:N14"/>
    <mergeCell ref="O23:W23"/>
    <mergeCell ref="B15:N15"/>
    <mergeCell ref="B16:N16"/>
    <mergeCell ref="B17:N17"/>
    <mergeCell ref="B18:N18"/>
    <mergeCell ref="O18:W18"/>
    <mergeCell ref="O16:W16"/>
    <mergeCell ref="O15:W15"/>
    <mergeCell ref="O14:W14"/>
    <mergeCell ref="O17:W17"/>
  </mergeCells>
  <printOptions horizontalCentered="1"/>
  <pageMargins left="0.19685039370078741" right="0.19685039370078741" top="0.59055118110236227" bottom="0.78740157480314965" header="0.35433070866141736" footer="0.51181102362204722"/>
  <pageSetup paperSize="9" scale="80" orientation="portrait" r:id="rId1"/>
  <headerFooter alignWithMargins="0">
    <oddFooter>&amp;L&amp;9&amp;G Aide à l'écriture jeu vidéo
&amp;R&amp;9 5_Devis et financement</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00DE2-730B-409B-80AC-B4F39A561883}">
  <sheetPr codeName="Feuil13"/>
  <dimension ref="A1:K95"/>
  <sheetViews>
    <sheetView showGridLines="0" topLeftCell="A56" zoomScale="70" zoomScaleNormal="70" zoomScaleSheetLayoutView="120" workbookViewId="0">
      <selection activeCell="D72" sqref="D72"/>
    </sheetView>
  </sheetViews>
  <sheetFormatPr baseColWidth="10" defaultRowHeight="12.75" x14ac:dyDescent="0.2"/>
  <cols>
    <col min="1" max="2" width="3.7109375" style="111" customWidth="1"/>
    <col min="3" max="3" width="27.7109375" style="111" customWidth="1"/>
    <col min="4" max="4" width="62.85546875" style="111" customWidth="1"/>
    <col min="5" max="7" width="1.85546875" style="111" customWidth="1"/>
    <col min="8" max="8" width="74.28515625" style="111" customWidth="1"/>
    <col min="9" max="9" width="1.7109375" style="111" customWidth="1"/>
    <col min="10" max="256" width="11.42578125" style="111"/>
    <col min="257" max="258" width="3.7109375" style="111" customWidth="1"/>
    <col min="259" max="259" width="27.7109375" style="111" customWidth="1"/>
    <col min="260" max="260" width="62.85546875" style="111" customWidth="1"/>
    <col min="261" max="263" width="1.85546875" style="111" customWidth="1"/>
    <col min="264" max="264" width="74.28515625" style="111" customWidth="1"/>
    <col min="265" max="265" width="1.7109375" style="111" customWidth="1"/>
    <col min="266" max="512" width="11.42578125" style="111"/>
    <col min="513" max="514" width="3.7109375" style="111" customWidth="1"/>
    <col min="515" max="515" width="27.7109375" style="111" customWidth="1"/>
    <col min="516" max="516" width="62.85546875" style="111" customWidth="1"/>
    <col min="517" max="519" width="1.85546875" style="111" customWidth="1"/>
    <col min="520" max="520" width="74.28515625" style="111" customWidth="1"/>
    <col min="521" max="521" width="1.7109375" style="111" customWidth="1"/>
    <col min="522" max="768" width="11.42578125" style="111"/>
    <col min="769" max="770" width="3.7109375" style="111" customWidth="1"/>
    <col min="771" max="771" width="27.7109375" style="111" customWidth="1"/>
    <col min="772" max="772" width="62.85546875" style="111" customWidth="1"/>
    <col min="773" max="775" width="1.85546875" style="111" customWidth="1"/>
    <col min="776" max="776" width="74.28515625" style="111" customWidth="1"/>
    <col min="777" max="777" width="1.7109375" style="111" customWidth="1"/>
    <col min="778" max="1024" width="11.42578125" style="111"/>
    <col min="1025" max="1026" width="3.7109375" style="111" customWidth="1"/>
    <col min="1027" max="1027" width="27.7109375" style="111" customWidth="1"/>
    <col min="1028" max="1028" width="62.85546875" style="111" customWidth="1"/>
    <col min="1029" max="1031" width="1.85546875" style="111" customWidth="1"/>
    <col min="1032" max="1032" width="74.28515625" style="111" customWidth="1"/>
    <col min="1033" max="1033" width="1.7109375" style="111" customWidth="1"/>
    <col min="1034" max="1280" width="11.42578125" style="111"/>
    <col min="1281" max="1282" width="3.7109375" style="111" customWidth="1"/>
    <col min="1283" max="1283" width="27.7109375" style="111" customWidth="1"/>
    <col min="1284" max="1284" width="62.85546875" style="111" customWidth="1"/>
    <col min="1285" max="1287" width="1.85546875" style="111" customWidth="1"/>
    <col min="1288" max="1288" width="74.28515625" style="111" customWidth="1"/>
    <col min="1289" max="1289" width="1.7109375" style="111" customWidth="1"/>
    <col min="1290" max="1536" width="11.42578125" style="111"/>
    <col min="1537" max="1538" width="3.7109375" style="111" customWidth="1"/>
    <col min="1539" max="1539" width="27.7109375" style="111" customWidth="1"/>
    <col min="1540" max="1540" width="62.85546875" style="111" customWidth="1"/>
    <col min="1541" max="1543" width="1.85546875" style="111" customWidth="1"/>
    <col min="1544" max="1544" width="74.28515625" style="111" customWidth="1"/>
    <col min="1545" max="1545" width="1.7109375" style="111" customWidth="1"/>
    <col min="1546" max="1792" width="11.42578125" style="111"/>
    <col min="1793" max="1794" width="3.7109375" style="111" customWidth="1"/>
    <col min="1795" max="1795" width="27.7109375" style="111" customWidth="1"/>
    <col min="1796" max="1796" width="62.85546875" style="111" customWidth="1"/>
    <col min="1797" max="1799" width="1.85546875" style="111" customWidth="1"/>
    <col min="1800" max="1800" width="74.28515625" style="111" customWidth="1"/>
    <col min="1801" max="1801" width="1.7109375" style="111" customWidth="1"/>
    <col min="1802" max="2048" width="11.42578125" style="111"/>
    <col min="2049" max="2050" width="3.7109375" style="111" customWidth="1"/>
    <col min="2051" max="2051" width="27.7109375" style="111" customWidth="1"/>
    <col min="2052" max="2052" width="62.85546875" style="111" customWidth="1"/>
    <col min="2053" max="2055" width="1.85546875" style="111" customWidth="1"/>
    <col min="2056" max="2056" width="74.28515625" style="111" customWidth="1"/>
    <col min="2057" max="2057" width="1.7109375" style="111" customWidth="1"/>
    <col min="2058" max="2304" width="11.42578125" style="111"/>
    <col min="2305" max="2306" width="3.7109375" style="111" customWidth="1"/>
    <col min="2307" max="2307" width="27.7109375" style="111" customWidth="1"/>
    <col min="2308" max="2308" width="62.85546875" style="111" customWidth="1"/>
    <col min="2309" max="2311" width="1.85546875" style="111" customWidth="1"/>
    <col min="2312" max="2312" width="74.28515625" style="111" customWidth="1"/>
    <col min="2313" max="2313" width="1.7109375" style="111" customWidth="1"/>
    <col min="2314" max="2560" width="11.42578125" style="111"/>
    <col min="2561" max="2562" width="3.7109375" style="111" customWidth="1"/>
    <col min="2563" max="2563" width="27.7109375" style="111" customWidth="1"/>
    <col min="2564" max="2564" width="62.85546875" style="111" customWidth="1"/>
    <col min="2565" max="2567" width="1.85546875" style="111" customWidth="1"/>
    <col min="2568" max="2568" width="74.28515625" style="111" customWidth="1"/>
    <col min="2569" max="2569" width="1.7109375" style="111" customWidth="1"/>
    <col min="2570" max="2816" width="11.42578125" style="111"/>
    <col min="2817" max="2818" width="3.7109375" style="111" customWidth="1"/>
    <col min="2819" max="2819" width="27.7109375" style="111" customWidth="1"/>
    <col min="2820" max="2820" width="62.85546875" style="111" customWidth="1"/>
    <col min="2821" max="2823" width="1.85546875" style="111" customWidth="1"/>
    <col min="2824" max="2824" width="74.28515625" style="111" customWidth="1"/>
    <col min="2825" max="2825" width="1.7109375" style="111" customWidth="1"/>
    <col min="2826" max="3072" width="11.42578125" style="111"/>
    <col min="3073" max="3074" width="3.7109375" style="111" customWidth="1"/>
    <col min="3075" max="3075" width="27.7109375" style="111" customWidth="1"/>
    <col min="3076" max="3076" width="62.85546875" style="111" customWidth="1"/>
    <col min="3077" max="3079" width="1.85546875" style="111" customWidth="1"/>
    <col min="3080" max="3080" width="74.28515625" style="111" customWidth="1"/>
    <col min="3081" max="3081" width="1.7109375" style="111" customWidth="1"/>
    <col min="3082" max="3328" width="11.42578125" style="111"/>
    <col min="3329" max="3330" width="3.7109375" style="111" customWidth="1"/>
    <col min="3331" max="3331" width="27.7109375" style="111" customWidth="1"/>
    <col min="3332" max="3332" width="62.85546875" style="111" customWidth="1"/>
    <col min="3333" max="3335" width="1.85546875" style="111" customWidth="1"/>
    <col min="3336" max="3336" width="74.28515625" style="111" customWidth="1"/>
    <col min="3337" max="3337" width="1.7109375" style="111" customWidth="1"/>
    <col min="3338" max="3584" width="11.42578125" style="111"/>
    <col min="3585" max="3586" width="3.7109375" style="111" customWidth="1"/>
    <col min="3587" max="3587" width="27.7109375" style="111" customWidth="1"/>
    <col min="3588" max="3588" width="62.85546875" style="111" customWidth="1"/>
    <col min="3589" max="3591" width="1.85546875" style="111" customWidth="1"/>
    <col min="3592" max="3592" width="74.28515625" style="111" customWidth="1"/>
    <col min="3593" max="3593" width="1.7109375" style="111" customWidth="1"/>
    <col min="3594" max="3840" width="11.42578125" style="111"/>
    <col min="3841" max="3842" width="3.7109375" style="111" customWidth="1"/>
    <col min="3843" max="3843" width="27.7109375" style="111" customWidth="1"/>
    <col min="3844" max="3844" width="62.85546875" style="111" customWidth="1"/>
    <col min="3845" max="3847" width="1.85546875" style="111" customWidth="1"/>
    <col min="3848" max="3848" width="74.28515625" style="111" customWidth="1"/>
    <col min="3849" max="3849" width="1.7109375" style="111" customWidth="1"/>
    <col min="3850" max="4096" width="11.42578125" style="111"/>
    <col min="4097" max="4098" width="3.7109375" style="111" customWidth="1"/>
    <col min="4099" max="4099" width="27.7109375" style="111" customWidth="1"/>
    <col min="4100" max="4100" width="62.85546875" style="111" customWidth="1"/>
    <col min="4101" max="4103" width="1.85546875" style="111" customWidth="1"/>
    <col min="4104" max="4104" width="74.28515625" style="111" customWidth="1"/>
    <col min="4105" max="4105" width="1.7109375" style="111" customWidth="1"/>
    <col min="4106" max="4352" width="11.42578125" style="111"/>
    <col min="4353" max="4354" width="3.7109375" style="111" customWidth="1"/>
    <col min="4355" max="4355" width="27.7109375" style="111" customWidth="1"/>
    <col min="4356" max="4356" width="62.85546875" style="111" customWidth="1"/>
    <col min="4357" max="4359" width="1.85546875" style="111" customWidth="1"/>
    <col min="4360" max="4360" width="74.28515625" style="111" customWidth="1"/>
    <col min="4361" max="4361" width="1.7109375" style="111" customWidth="1"/>
    <col min="4362" max="4608" width="11.42578125" style="111"/>
    <col min="4609" max="4610" width="3.7109375" style="111" customWidth="1"/>
    <col min="4611" max="4611" width="27.7109375" style="111" customWidth="1"/>
    <col min="4612" max="4612" width="62.85546875" style="111" customWidth="1"/>
    <col min="4613" max="4615" width="1.85546875" style="111" customWidth="1"/>
    <col min="4616" max="4616" width="74.28515625" style="111" customWidth="1"/>
    <col min="4617" max="4617" width="1.7109375" style="111" customWidth="1"/>
    <col min="4618" max="4864" width="11.42578125" style="111"/>
    <col min="4865" max="4866" width="3.7109375" style="111" customWidth="1"/>
    <col min="4867" max="4867" width="27.7109375" style="111" customWidth="1"/>
    <col min="4868" max="4868" width="62.85546875" style="111" customWidth="1"/>
    <col min="4869" max="4871" width="1.85546875" style="111" customWidth="1"/>
    <col min="4872" max="4872" width="74.28515625" style="111" customWidth="1"/>
    <col min="4873" max="4873" width="1.7109375" style="111" customWidth="1"/>
    <col min="4874" max="5120" width="11.42578125" style="111"/>
    <col min="5121" max="5122" width="3.7109375" style="111" customWidth="1"/>
    <col min="5123" max="5123" width="27.7109375" style="111" customWidth="1"/>
    <col min="5124" max="5124" width="62.85546875" style="111" customWidth="1"/>
    <col min="5125" max="5127" width="1.85546875" style="111" customWidth="1"/>
    <col min="5128" max="5128" width="74.28515625" style="111" customWidth="1"/>
    <col min="5129" max="5129" width="1.7109375" style="111" customWidth="1"/>
    <col min="5130" max="5376" width="11.42578125" style="111"/>
    <col min="5377" max="5378" width="3.7109375" style="111" customWidth="1"/>
    <col min="5379" max="5379" width="27.7109375" style="111" customWidth="1"/>
    <col min="5380" max="5380" width="62.85546875" style="111" customWidth="1"/>
    <col min="5381" max="5383" width="1.85546875" style="111" customWidth="1"/>
    <col min="5384" max="5384" width="74.28515625" style="111" customWidth="1"/>
    <col min="5385" max="5385" width="1.7109375" style="111" customWidth="1"/>
    <col min="5386" max="5632" width="11.42578125" style="111"/>
    <col min="5633" max="5634" width="3.7109375" style="111" customWidth="1"/>
    <col min="5635" max="5635" width="27.7109375" style="111" customWidth="1"/>
    <col min="5636" max="5636" width="62.85546875" style="111" customWidth="1"/>
    <col min="5637" max="5639" width="1.85546875" style="111" customWidth="1"/>
    <col min="5640" max="5640" width="74.28515625" style="111" customWidth="1"/>
    <col min="5641" max="5641" width="1.7109375" style="111" customWidth="1"/>
    <col min="5642" max="5888" width="11.42578125" style="111"/>
    <col min="5889" max="5890" width="3.7109375" style="111" customWidth="1"/>
    <col min="5891" max="5891" width="27.7109375" style="111" customWidth="1"/>
    <col min="5892" max="5892" width="62.85546875" style="111" customWidth="1"/>
    <col min="5893" max="5895" width="1.85546875" style="111" customWidth="1"/>
    <col min="5896" max="5896" width="74.28515625" style="111" customWidth="1"/>
    <col min="5897" max="5897" width="1.7109375" style="111" customWidth="1"/>
    <col min="5898" max="6144" width="11.42578125" style="111"/>
    <col min="6145" max="6146" width="3.7109375" style="111" customWidth="1"/>
    <col min="6147" max="6147" width="27.7109375" style="111" customWidth="1"/>
    <col min="6148" max="6148" width="62.85546875" style="111" customWidth="1"/>
    <col min="6149" max="6151" width="1.85546875" style="111" customWidth="1"/>
    <col min="6152" max="6152" width="74.28515625" style="111" customWidth="1"/>
    <col min="6153" max="6153" width="1.7109375" style="111" customWidth="1"/>
    <col min="6154" max="6400" width="11.42578125" style="111"/>
    <col min="6401" max="6402" width="3.7109375" style="111" customWidth="1"/>
    <col min="6403" max="6403" width="27.7109375" style="111" customWidth="1"/>
    <col min="6404" max="6404" width="62.85546875" style="111" customWidth="1"/>
    <col min="6405" max="6407" width="1.85546875" style="111" customWidth="1"/>
    <col min="6408" max="6408" width="74.28515625" style="111" customWidth="1"/>
    <col min="6409" max="6409" width="1.7109375" style="111" customWidth="1"/>
    <col min="6410" max="6656" width="11.42578125" style="111"/>
    <col min="6657" max="6658" width="3.7109375" style="111" customWidth="1"/>
    <col min="6659" max="6659" width="27.7109375" style="111" customWidth="1"/>
    <col min="6660" max="6660" width="62.85546875" style="111" customWidth="1"/>
    <col min="6661" max="6663" width="1.85546875" style="111" customWidth="1"/>
    <col min="6664" max="6664" width="74.28515625" style="111" customWidth="1"/>
    <col min="6665" max="6665" width="1.7109375" style="111" customWidth="1"/>
    <col min="6666" max="6912" width="11.42578125" style="111"/>
    <col min="6913" max="6914" width="3.7109375" style="111" customWidth="1"/>
    <col min="6915" max="6915" width="27.7109375" style="111" customWidth="1"/>
    <col min="6916" max="6916" width="62.85546875" style="111" customWidth="1"/>
    <col min="6917" max="6919" width="1.85546875" style="111" customWidth="1"/>
    <col min="6920" max="6920" width="74.28515625" style="111" customWidth="1"/>
    <col min="6921" max="6921" width="1.7109375" style="111" customWidth="1"/>
    <col min="6922" max="7168" width="11.42578125" style="111"/>
    <col min="7169" max="7170" width="3.7109375" style="111" customWidth="1"/>
    <col min="7171" max="7171" width="27.7109375" style="111" customWidth="1"/>
    <col min="7172" max="7172" width="62.85546875" style="111" customWidth="1"/>
    <col min="7173" max="7175" width="1.85546875" style="111" customWidth="1"/>
    <col min="7176" max="7176" width="74.28515625" style="111" customWidth="1"/>
    <col min="7177" max="7177" width="1.7109375" style="111" customWidth="1"/>
    <col min="7178" max="7424" width="11.42578125" style="111"/>
    <col min="7425" max="7426" width="3.7109375" style="111" customWidth="1"/>
    <col min="7427" max="7427" width="27.7109375" style="111" customWidth="1"/>
    <col min="7428" max="7428" width="62.85546875" style="111" customWidth="1"/>
    <col min="7429" max="7431" width="1.85546875" style="111" customWidth="1"/>
    <col min="7432" max="7432" width="74.28515625" style="111" customWidth="1"/>
    <col min="7433" max="7433" width="1.7109375" style="111" customWidth="1"/>
    <col min="7434" max="7680" width="11.42578125" style="111"/>
    <col min="7681" max="7682" width="3.7109375" style="111" customWidth="1"/>
    <col min="7683" max="7683" width="27.7109375" style="111" customWidth="1"/>
    <col min="7684" max="7684" width="62.85546875" style="111" customWidth="1"/>
    <col min="7685" max="7687" width="1.85546875" style="111" customWidth="1"/>
    <col min="7688" max="7688" width="74.28515625" style="111" customWidth="1"/>
    <col min="7689" max="7689" width="1.7109375" style="111" customWidth="1"/>
    <col min="7690" max="7936" width="11.42578125" style="111"/>
    <col min="7937" max="7938" width="3.7109375" style="111" customWidth="1"/>
    <col min="7939" max="7939" width="27.7109375" style="111" customWidth="1"/>
    <col min="7940" max="7940" width="62.85546875" style="111" customWidth="1"/>
    <col min="7941" max="7943" width="1.85546875" style="111" customWidth="1"/>
    <col min="7944" max="7944" width="74.28515625" style="111" customWidth="1"/>
    <col min="7945" max="7945" width="1.7109375" style="111" customWidth="1"/>
    <col min="7946" max="8192" width="11.42578125" style="111"/>
    <col min="8193" max="8194" width="3.7109375" style="111" customWidth="1"/>
    <col min="8195" max="8195" width="27.7109375" style="111" customWidth="1"/>
    <col min="8196" max="8196" width="62.85546875" style="111" customWidth="1"/>
    <col min="8197" max="8199" width="1.85546875" style="111" customWidth="1"/>
    <col min="8200" max="8200" width="74.28515625" style="111" customWidth="1"/>
    <col min="8201" max="8201" width="1.7109375" style="111" customWidth="1"/>
    <col min="8202" max="8448" width="11.42578125" style="111"/>
    <col min="8449" max="8450" width="3.7109375" style="111" customWidth="1"/>
    <col min="8451" max="8451" width="27.7109375" style="111" customWidth="1"/>
    <col min="8452" max="8452" width="62.85546875" style="111" customWidth="1"/>
    <col min="8453" max="8455" width="1.85546875" style="111" customWidth="1"/>
    <col min="8456" max="8456" width="74.28515625" style="111" customWidth="1"/>
    <col min="8457" max="8457" width="1.7109375" style="111" customWidth="1"/>
    <col min="8458" max="8704" width="11.42578125" style="111"/>
    <col min="8705" max="8706" width="3.7109375" style="111" customWidth="1"/>
    <col min="8707" max="8707" width="27.7109375" style="111" customWidth="1"/>
    <col min="8708" max="8708" width="62.85546875" style="111" customWidth="1"/>
    <col min="8709" max="8711" width="1.85546875" style="111" customWidth="1"/>
    <col min="8712" max="8712" width="74.28515625" style="111" customWidth="1"/>
    <col min="8713" max="8713" width="1.7109375" style="111" customWidth="1"/>
    <col min="8714" max="8960" width="11.42578125" style="111"/>
    <col min="8961" max="8962" width="3.7109375" style="111" customWidth="1"/>
    <col min="8963" max="8963" width="27.7109375" style="111" customWidth="1"/>
    <col min="8964" max="8964" width="62.85546875" style="111" customWidth="1"/>
    <col min="8965" max="8967" width="1.85546875" style="111" customWidth="1"/>
    <col min="8968" max="8968" width="74.28515625" style="111" customWidth="1"/>
    <col min="8969" max="8969" width="1.7109375" style="111" customWidth="1"/>
    <col min="8970" max="9216" width="11.42578125" style="111"/>
    <col min="9217" max="9218" width="3.7109375" style="111" customWidth="1"/>
    <col min="9219" max="9219" width="27.7109375" style="111" customWidth="1"/>
    <col min="9220" max="9220" width="62.85546875" style="111" customWidth="1"/>
    <col min="9221" max="9223" width="1.85546875" style="111" customWidth="1"/>
    <col min="9224" max="9224" width="74.28515625" style="111" customWidth="1"/>
    <col min="9225" max="9225" width="1.7109375" style="111" customWidth="1"/>
    <col min="9226" max="9472" width="11.42578125" style="111"/>
    <col min="9473" max="9474" width="3.7109375" style="111" customWidth="1"/>
    <col min="9475" max="9475" width="27.7109375" style="111" customWidth="1"/>
    <col min="9476" max="9476" width="62.85546875" style="111" customWidth="1"/>
    <col min="9477" max="9479" width="1.85546875" style="111" customWidth="1"/>
    <col min="9480" max="9480" width="74.28515625" style="111" customWidth="1"/>
    <col min="9481" max="9481" width="1.7109375" style="111" customWidth="1"/>
    <col min="9482" max="9728" width="11.42578125" style="111"/>
    <col min="9729" max="9730" width="3.7109375" style="111" customWidth="1"/>
    <col min="9731" max="9731" width="27.7109375" style="111" customWidth="1"/>
    <col min="9732" max="9732" width="62.85546875" style="111" customWidth="1"/>
    <col min="9733" max="9735" width="1.85546875" style="111" customWidth="1"/>
    <col min="9736" max="9736" width="74.28515625" style="111" customWidth="1"/>
    <col min="9737" max="9737" width="1.7109375" style="111" customWidth="1"/>
    <col min="9738" max="9984" width="11.42578125" style="111"/>
    <col min="9985" max="9986" width="3.7109375" style="111" customWidth="1"/>
    <col min="9987" max="9987" width="27.7109375" style="111" customWidth="1"/>
    <col min="9988" max="9988" width="62.85546875" style="111" customWidth="1"/>
    <col min="9989" max="9991" width="1.85546875" style="111" customWidth="1"/>
    <col min="9992" max="9992" width="74.28515625" style="111" customWidth="1"/>
    <col min="9993" max="9993" width="1.7109375" style="111" customWidth="1"/>
    <col min="9994" max="10240" width="11.42578125" style="111"/>
    <col min="10241" max="10242" width="3.7109375" style="111" customWidth="1"/>
    <col min="10243" max="10243" width="27.7109375" style="111" customWidth="1"/>
    <col min="10244" max="10244" width="62.85546875" style="111" customWidth="1"/>
    <col min="10245" max="10247" width="1.85546875" style="111" customWidth="1"/>
    <col min="10248" max="10248" width="74.28515625" style="111" customWidth="1"/>
    <col min="10249" max="10249" width="1.7109375" style="111" customWidth="1"/>
    <col min="10250" max="10496" width="11.42578125" style="111"/>
    <col min="10497" max="10498" width="3.7109375" style="111" customWidth="1"/>
    <col min="10499" max="10499" width="27.7109375" style="111" customWidth="1"/>
    <col min="10500" max="10500" width="62.85546875" style="111" customWidth="1"/>
    <col min="10501" max="10503" width="1.85546875" style="111" customWidth="1"/>
    <col min="10504" max="10504" width="74.28515625" style="111" customWidth="1"/>
    <col min="10505" max="10505" width="1.7109375" style="111" customWidth="1"/>
    <col min="10506" max="10752" width="11.42578125" style="111"/>
    <col min="10753" max="10754" width="3.7109375" style="111" customWidth="1"/>
    <col min="10755" max="10755" width="27.7109375" style="111" customWidth="1"/>
    <col min="10756" max="10756" width="62.85546875" style="111" customWidth="1"/>
    <col min="10757" max="10759" width="1.85546875" style="111" customWidth="1"/>
    <col min="10760" max="10760" width="74.28515625" style="111" customWidth="1"/>
    <col min="10761" max="10761" width="1.7109375" style="111" customWidth="1"/>
    <col min="10762" max="11008" width="11.42578125" style="111"/>
    <col min="11009" max="11010" width="3.7109375" style="111" customWidth="1"/>
    <col min="11011" max="11011" width="27.7109375" style="111" customWidth="1"/>
    <col min="11012" max="11012" width="62.85546875" style="111" customWidth="1"/>
    <col min="11013" max="11015" width="1.85546875" style="111" customWidth="1"/>
    <col min="11016" max="11016" width="74.28515625" style="111" customWidth="1"/>
    <col min="11017" max="11017" width="1.7109375" style="111" customWidth="1"/>
    <col min="11018" max="11264" width="11.42578125" style="111"/>
    <col min="11265" max="11266" width="3.7109375" style="111" customWidth="1"/>
    <col min="11267" max="11267" width="27.7109375" style="111" customWidth="1"/>
    <col min="11268" max="11268" width="62.85546875" style="111" customWidth="1"/>
    <col min="11269" max="11271" width="1.85546875" style="111" customWidth="1"/>
    <col min="11272" max="11272" width="74.28515625" style="111" customWidth="1"/>
    <col min="11273" max="11273" width="1.7109375" style="111" customWidth="1"/>
    <col min="11274" max="11520" width="11.42578125" style="111"/>
    <col min="11521" max="11522" width="3.7109375" style="111" customWidth="1"/>
    <col min="11523" max="11523" width="27.7109375" style="111" customWidth="1"/>
    <col min="11524" max="11524" width="62.85546875" style="111" customWidth="1"/>
    <col min="11525" max="11527" width="1.85546875" style="111" customWidth="1"/>
    <col min="11528" max="11528" width="74.28515625" style="111" customWidth="1"/>
    <col min="11529" max="11529" width="1.7109375" style="111" customWidth="1"/>
    <col min="11530" max="11776" width="11.42578125" style="111"/>
    <col min="11777" max="11778" width="3.7109375" style="111" customWidth="1"/>
    <col min="11779" max="11779" width="27.7109375" style="111" customWidth="1"/>
    <col min="11780" max="11780" width="62.85546875" style="111" customWidth="1"/>
    <col min="11781" max="11783" width="1.85546875" style="111" customWidth="1"/>
    <col min="11784" max="11784" width="74.28515625" style="111" customWidth="1"/>
    <col min="11785" max="11785" width="1.7109375" style="111" customWidth="1"/>
    <col min="11786" max="12032" width="11.42578125" style="111"/>
    <col min="12033" max="12034" width="3.7109375" style="111" customWidth="1"/>
    <col min="12035" max="12035" width="27.7109375" style="111" customWidth="1"/>
    <col min="12036" max="12036" width="62.85546875" style="111" customWidth="1"/>
    <col min="12037" max="12039" width="1.85546875" style="111" customWidth="1"/>
    <col min="12040" max="12040" width="74.28515625" style="111" customWidth="1"/>
    <col min="12041" max="12041" width="1.7109375" style="111" customWidth="1"/>
    <col min="12042" max="12288" width="11.42578125" style="111"/>
    <col min="12289" max="12290" width="3.7109375" style="111" customWidth="1"/>
    <col min="12291" max="12291" width="27.7109375" style="111" customWidth="1"/>
    <col min="12292" max="12292" width="62.85546875" style="111" customWidth="1"/>
    <col min="12293" max="12295" width="1.85546875" style="111" customWidth="1"/>
    <col min="12296" max="12296" width="74.28515625" style="111" customWidth="1"/>
    <col min="12297" max="12297" width="1.7109375" style="111" customWidth="1"/>
    <col min="12298" max="12544" width="11.42578125" style="111"/>
    <col min="12545" max="12546" width="3.7109375" style="111" customWidth="1"/>
    <col min="12547" max="12547" width="27.7109375" style="111" customWidth="1"/>
    <col min="12548" max="12548" width="62.85546875" style="111" customWidth="1"/>
    <col min="12549" max="12551" width="1.85546875" style="111" customWidth="1"/>
    <col min="12552" max="12552" width="74.28515625" style="111" customWidth="1"/>
    <col min="12553" max="12553" width="1.7109375" style="111" customWidth="1"/>
    <col min="12554" max="12800" width="11.42578125" style="111"/>
    <col min="12801" max="12802" width="3.7109375" style="111" customWidth="1"/>
    <col min="12803" max="12803" width="27.7109375" style="111" customWidth="1"/>
    <col min="12804" max="12804" width="62.85546875" style="111" customWidth="1"/>
    <col min="12805" max="12807" width="1.85546875" style="111" customWidth="1"/>
    <col min="12808" max="12808" width="74.28515625" style="111" customWidth="1"/>
    <col min="12809" max="12809" width="1.7109375" style="111" customWidth="1"/>
    <col min="12810" max="13056" width="11.42578125" style="111"/>
    <col min="13057" max="13058" width="3.7109375" style="111" customWidth="1"/>
    <col min="13059" max="13059" width="27.7109375" style="111" customWidth="1"/>
    <col min="13060" max="13060" width="62.85546875" style="111" customWidth="1"/>
    <col min="13061" max="13063" width="1.85546875" style="111" customWidth="1"/>
    <col min="13064" max="13064" width="74.28515625" style="111" customWidth="1"/>
    <col min="13065" max="13065" width="1.7109375" style="111" customWidth="1"/>
    <col min="13066" max="13312" width="11.42578125" style="111"/>
    <col min="13313" max="13314" width="3.7109375" style="111" customWidth="1"/>
    <col min="13315" max="13315" width="27.7109375" style="111" customWidth="1"/>
    <col min="13316" max="13316" width="62.85546875" style="111" customWidth="1"/>
    <col min="13317" max="13319" width="1.85546875" style="111" customWidth="1"/>
    <col min="13320" max="13320" width="74.28515625" style="111" customWidth="1"/>
    <col min="13321" max="13321" width="1.7109375" style="111" customWidth="1"/>
    <col min="13322" max="13568" width="11.42578125" style="111"/>
    <col min="13569" max="13570" width="3.7109375" style="111" customWidth="1"/>
    <col min="13571" max="13571" width="27.7109375" style="111" customWidth="1"/>
    <col min="13572" max="13572" width="62.85546875" style="111" customWidth="1"/>
    <col min="13573" max="13575" width="1.85546875" style="111" customWidth="1"/>
    <col min="13576" max="13576" width="74.28515625" style="111" customWidth="1"/>
    <col min="13577" max="13577" width="1.7109375" style="111" customWidth="1"/>
    <col min="13578" max="13824" width="11.42578125" style="111"/>
    <col min="13825" max="13826" width="3.7109375" style="111" customWidth="1"/>
    <col min="13827" max="13827" width="27.7109375" style="111" customWidth="1"/>
    <col min="13828" max="13828" width="62.85546875" style="111" customWidth="1"/>
    <col min="13829" max="13831" width="1.85546875" style="111" customWidth="1"/>
    <col min="13832" max="13832" width="74.28515625" style="111" customWidth="1"/>
    <col min="13833" max="13833" width="1.7109375" style="111" customWidth="1"/>
    <col min="13834" max="14080" width="11.42578125" style="111"/>
    <col min="14081" max="14082" width="3.7109375" style="111" customWidth="1"/>
    <col min="14083" max="14083" width="27.7109375" style="111" customWidth="1"/>
    <col min="14084" max="14084" width="62.85546875" style="111" customWidth="1"/>
    <col min="14085" max="14087" width="1.85546875" style="111" customWidth="1"/>
    <col min="14088" max="14088" width="74.28515625" style="111" customWidth="1"/>
    <col min="14089" max="14089" width="1.7109375" style="111" customWidth="1"/>
    <col min="14090" max="14336" width="11.42578125" style="111"/>
    <col min="14337" max="14338" width="3.7109375" style="111" customWidth="1"/>
    <col min="14339" max="14339" width="27.7109375" style="111" customWidth="1"/>
    <col min="14340" max="14340" width="62.85546875" style="111" customWidth="1"/>
    <col min="14341" max="14343" width="1.85546875" style="111" customWidth="1"/>
    <col min="14344" max="14344" width="74.28515625" style="111" customWidth="1"/>
    <col min="14345" max="14345" width="1.7109375" style="111" customWidth="1"/>
    <col min="14346" max="14592" width="11.42578125" style="111"/>
    <col min="14593" max="14594" width="3.7109375" style="111" customWidth="1"/>
    <col min="14595" max="14595" width="27.7109375" style="111" customWidth="1"/>
    <col min="14596" max="14596" width="62.85546875" style="111" customWidth="1"/>
    <col min="14597" max="14599" width="1.85546875" style="111" customWidth="1"/>
    <col min="14600" max="14600" width="74.28515625" style="111" customWidth="1"/>
    <col min="14601" max="14601" width="1.7109375" style="111" customWidth="1"/>
    <col min="14602" max="14848" width="11.42578125" style="111"/>
    <col min="14849" max="14850" width="3.7109375" style="111" customWidth="1"/>
    <col min="14851" max="14851" width="27.7109375" style="111" customWidth="1"/>
    <col min="14852" max="14852" width="62.85546875" style="111" customWidth="1"/>
    <col min="14853" max="14855" width="1.85546875" style="111" customWidth="1"/>
    <col min="14856" max="14856" width="74.28515625" style="111" customWidth="1"/>
    <col min="14857" max="14857" width="1.7109375" style="111" customWidth="1"/>
    <col min="14858" max="15104" width="11.42578125" style="111"/>
    <col min="15105" max="15106" width="3.7109375" style="111" customWidth="1"/>
    <col min="15107" max="15107" width="27.7109375" style="111" customWidth="1"/>
    <col min="15108" max="15108" width="62.85546875" style="111" customWidth="1"/>
    <col min="15109" max="15111" width="1.85546875" style="111" customWidth="1"/>
    <col min="15112" max="15112" width="74.28515625" style="111" customWidth="1"/>
    <col min="15113" max="15113" width="1.7109375" style="111" customWidth="1"/>
    <col min="15114" max="15360" width="11.42578125" style="111"/>
    <col min="15361" max="15362" width="3.7109375" style="111" customWidth="1"/>
    <col min="15363" max="15363" width="27.7109375" style="111" customWidth="1"/>
    <col min="15364" max="15364" width="62.85546875" style="111" customWidth="1"/>
    <col min="15365" max="15367" width="1.85546875" style="111" customWidth="1"/>
    <col min="15368" max="15368" width="74.28515625" style="111" customWidth="1"/>
    <col min="15369" max="15369" width="1.7109375" style="111" customWidth="1"/>
    <col min="15370" max="15616" width="11.42578125" style="111"/>
    <col min="15617" max="15618" width="3.7109375" style="111" customWidth="1"/>
    <col min="15619" max="15619" width="27.7109375" style="111" customWidth="1"/>
    <col min="15620" max="15620" width="62.85546875" style="111" customWidth="1"/>
    <col min="15621" max="15623" width="1.85546875" style="111" customWidth="1"/>
    <col min="15624" max="15624" width="74.28515625" style="111" customWidth="1"/>
    <col min="15625" max="15625" width="1.7109375" style="111" customWidth="1"/>
    <col min="15626" max="15872" width="11.42578125" style="111"/>
    <col min="15873" max="15874" width="3.7109375" style="111" customWidth="1"/>
    <col min="15875" max="15875" width="27.7109375" style="111" customWidth="1"/>
    <col min="15876" max="15876" width="62.85546875" style="111" customWidth="1"/>
    <col min="15877" max="15879" width="1.85546875" style="111" customWidth="1"/>
    <col min="15880" max="15880" width="74.28515625" style="111" customWidth="1"/>
    <col min="15881" max="15881" width="1.7109375" style="111" customWidth="1"/>
    <col min="15882" max="16128" width="11.42578125" style="111"/>
    <col min="16129" max="16130" width="3.7109375" style="111" customWidth="1"/>
    <col min="16131" max="16131" width="27.7109375" style="111" customWidth="1"/>
    <col min="16132" max="16132" width="62.85546875" style="111" customWidth="1"/>
    <col min="16133" max="16135" width="1.85546875" style="111" customWidth="1"/>
    <col min="16136" max="16136" width="74.28515625" style="111" customWidth="1"/>
    <col min="16137" max="16137" width="1.7109375" style="111" customWidth="1"/>
    <col min="16138" max="16384" width="11.42578125" style="111"/>
  </cols>
  <sheetData>
    <row r="1" spans="3:11" ht="13.5" thickBot="1" x14ac:dyDescent="0.25"/>
    <row r="2" spans="3:11" ht="57" customHeight="1" thickBot="1" x14ac:dyDescent="0.25">
      <c r="D2" s="227" t="s">
        <v>240</v>
      </c>
      <c r="E2" s="228"/>
      <c r="F2" s="228"/>
      <c r="G2" s="228"/>
      <c r="H2" s="228"/>
      <c r="I2" s="228"/>
    </row>
    <row r="3" spans="3:11" ht="12" customHeight="1" x14ac:dyDescent="0.2"/>
    <row r="4" spans="3:11" s="228" customFormat="1" ht="11.25" customHeight="1" x14ac:dyDescent="0.2">
      <c r="C4" s="229"/>
      <c r="D4" s="111"/>
      <c r="E4" s="111"/>
      <c r="F4" s="111"/>
      <c r="G4" s="111"/>
      <c r="H4" s="111"/>
      <c r="I4" s="111"/>
    </row>
    <row r="5" spans="3:11" x14ac:dyDescent="0.2">
      <c r="D5" s="84"/>
      <c r="J5" s="230"/>
      <c r="K5" s="230"/>
    </row>
    <row r="6" spans="3:11" x14ac:dyDescent="0.2">
      <c r="J6" s="230"/>
      <c r="K6" s="230"/>
    </row>
    <row r="7" spans="3:11" ht="21.75" customHeight="1" x14ac:dyDescent="0.25">
      <c r="C7" s="231" t="s">
        <v>220</v>
      </c>
      <c r="D7" s="84"/>
      <c r="J7" s="230"/>
      <c r="K7" s="230"/>
    </row>
    <row r="8" spans="3:11" ht="21.75" customHeight="1" x14ac:dyDescent="0.25">
      <c r="C8" s="232" t="s">
        <v>221</v>
      </c>
      <c r="D8" s="84"/>
      <c r="J8" s="230"/>
      <c r="K8" s="230"/>
    </row>
    <row r="9" spans="3:11" ht="21.75" customHeight="1" x14ac:dyDescent="0.25">
      <c r="C9" s="232" t="s">
        <v>222</v>
      </c>
      <c r="J9" s="230"/>
      <c r="K9" s="230"/>
    </row>
    <row r="10" spans="3:11" ht="21.75" customHeight="1" x14ac:dyDescent="0.25">
      <c r="C10" s="233" t="s">
        <v>223</v>
      </c>
      <c r="J10" s="230"/>
      <c r="K10" s="230"/>
    </row>
    <row r="11" spans="3:11" ht="21.75" customHeight="1" x14ac:dyDescent="0.25">
      <c r="C11" s="232" t="s">
        <v>224</v>
      </c>
      <c r="J11" s="230"/>
      <c r="K11" s="230"/>
    </row>
    <row r="12" spans="3:11" ht="21.75" customHeight="1" x14ac:dyDescent="0.25">
      <c r="C12" s="233" t="s">
        <v>225</v>
      </c>
      <c r="J12" s="230"/>
      <c r="K12" s="230"/>
    </row>
    <row r="13" spans="3:11" ht="21.75" customHeight="1" x14ac:dyDescent="0.25">
      <c r="C13" s="232" t="s">
        <v>226</v>
      </c>
      <c r="J13" s="230"/>
      <c r="K13" s="230"/>
    </row>
    <row r="14" spans="3:11" ht="21.75" customHeight="1" x14ac:dyDescent="0.25">
      <c r="C14" s="233" t="s">
        <v>227</v>
      </c>
      <c r="J14" s="230"/>
      <c r="K14" s="230"/>
    </row>
    <row r="15" spans="3:11" ht="21.75" customHeight="1" x14ac:dyDescent="0.25">
      <c r="C15" s="233" t="s">
        <v>228</v>
      </c>
      <c r="D15" s="84"/>
      <c r="J15" s="230"/>
      <c r="K15" s="230"/>
    </row>
    <row r="16" spans="3:11" ht="12.75" customHeight="1" x14ac:dyDescent="0.2">
      <c r="C16" s="234"/>
      <c r="D16" s="84"/>
    </row>
    <row r="17" spans="1:11" x14ac:dyDescent="0.2">
      <c r="C17" s="234"/>
      <c r="D17" s="84"/>
      <c r="J17" s="230"/>
      <c r="K17" s="230"/>
    </row>
    <row r="18" spans="1:11" ht="12.75" customHeight="1" x14ac:dyDescent="0.2">
      <c r="C18" s="234"/>
      <c r="D18" s="84"/>
    </row>
    <row r="19" spans="1:11" ht="21" customHeight="1" x14ac:dyDescent="0.25">
      <c r="C19" s="231" t="s">
        <v>229</v>
      </c>
      <c r="D19" s="235"/>
      <c r="J19" s="230"/>
      <c r="K19" s="230"/>
    </row>
    <row r="20" spans="1:11" ht="21" customHeight="1" x14ac:dyDescent="0.25">
      <c r="C20" s="236" t="s">
        <v>243</v>
      </c>
      <c r="D20" s="235"/>
    </row>
    <row r="21" spans="1:11" ht="21" customHeight="1" x14ac:dyDescent="0.25">
      <c r="C21" s="236" t="s">
        <v>230</v>
      </c>
      <c r="D21" s="235"/>
    </row>
    <row r="22" spans="1:11" ht="21.75" customHeight="1" x14ac:dyDescent="0.25">
      <c r="C22" s="237" t="s">
        <v>231</v>
      </c>
      <c r="D22" s="84"/>
    </row>
    <row r="23" spans="1:11" x14ac:dyDescent="0.2">
      <c r="C23" s="234"/>
      <c r="D23" s="84"/>
      <c r="J23" s="230"/>
      <c r="K23" s="230"/>
    </row>
    <row r="24" spans="1:11" ht="12.75" customHeight="1" x14ac:dyDescent="0.2">
      <c r="C24" s="234"/>
      <c r="D24" s="84"/>
    </row>
    <row r="25" spans="1:11" x14ac:dyDescent="0.2">
      <c r="C25" s="234"/>
      <c r="D25" s="84"/>
      <c r="J25" s="230"/>
      <c r="K25" s="230"/>
    </row>
    <row r="26" spans="1:11" x14ac:dyDescent="0.2">
      <c r="C26" s="234"/>
      <c r="D26" s="84"/>
      <c r="J26" s="230"/>
      <c r="K26" s="230"/>
    </row>
    <row r="27" spans="1:11" x14ac:dyDescent="0.2">
      <c r="C27" s="234"/>
      <c r="D27" s="84"/>
      <c r="J27" s="230"/>
      <c r="K27" s="230"/>
    </row>
    <row r="28" spans="1:11" ht="21" x14ac:dyDescent="0.35">
      <c r="C28" s="238" t="s">
        <v>232</v>
      </c>
      <c r="D28" s="84"/>
      <c r="J28" s="230"/>
      <c r="K28" s="230"/>
    </row>
    <row r="29" spans="1:11" ht="8.25" customHeight="1" x14ac:dyDescent="0.2">
      <c r="J29" s="230"/>
      <c r="K29" s="230"/>
    </row>
    <row r="30" spans="1:11" ht="6.75" customHeight="1" x14ac:dyDescent="0.2">
      <c r="A30" s="239"/>
      <c r="B30" s="239"/>
      <c r="J30" s="230"/>
      <c r="K30" s="230"/>
    </row>
    <row r="31" spans="1:11" x14ac:dyDescent="0.2">
      <c r="A31" s="240"/>
      <c r="B31" s="240"/>
      <c r="J31" s="241"/>
      <c r="K31" s="230"/>
    </row>
    <row r="32" spans="1:11" x14ac:dyDescent="0.2">
      <c r="A32" s="240"/>
      <c r="B32" s="240"/>
      <c r="J32" s="241"/>
      <c r="K32" s="230"/>
    </row>
    <row r="33" spans="1:11" x14ac:dyDescent="0.2">
      <c r="A33" s="240"/>
      <c r="B33" s="240"/>
      <c r="J33" s="241"/>
      <c r="K33" s="230"/>
    </row>
    <row r="34" spans="1:11" x14ac:dyDescent="0.2">
      <c r="A34" s="240"/>
      <c r="B34" s="240"/>
      <c r="J34" s="241"/>
      <c r="K34" s="230"/>
    </row>
    <row r="35" spans="1:11" x14ac:dyDescent="0.2">
      <c r="A35" s="240"/>
      <c r="B35" s="240"/>
      <c r="J35" s="241"/>
      <c r="K35" s="230"/>
    </row>
    <row r="36" spans="1:11" x14ac:dyDescent="0.2">
      <c r="A36" s="240"/>
      <c r="B36" s="240"/>
      <c r="J36" s="241"/>
      <c r="K36" s="230"/>
    </row>
    <row r="37" spans="1:11" x14ac:dyDescent="0.2">
      <c r="A37" s="240"/>
      <c r="B37" s="240"/>
      <c r="J37" s="241"/>
      <c r="K37" s="230"/>
    </row>
    <row r="38" spans="1:11" x14ac:dyDescent="0.2">
      <c r="A38" s="240"/>
      <c r="B38" s="240"/>
      <c r="J38" s="241"/>
      <c r="K38" s="230"/>
    </row>
    <row r="39" spans="1:11" x14ac:dyDescent="0.2">
      <c r="A39" s="240"/>
      <c r="B39" s="240"/>
      <c r="J39" s="241"/>
      <c r="K39" s="230"/>
    </row>
    <row r="40" spans="1:11" x14ac:dyDescent="0.2">
      <c r="A40" s="240"/>
      <c r="B40" s="240"/>
      <c r="J40" s="241"/>
      <c r="K40" s="230"/>
    </row>
    <row r="41" spans="1:11" x14ac:dyDescent="0.2">
      <c r="A41" s="240"/>
      <c r="B41" s="240"/>
      <c r="J41" s="241"/>
      <c r="K41" s="230"/>
    </row>
    <row r="42" spans="1:11" x14ac:dyDescent="0.2">
      <c r="A42" s="240"/>
      <c r="B42" s="240"/>
      <c r="J42" s="241"/>
      <c r="K42" s="230"/>
    </row>
    <row r="43" spans="1:11" x14ac:dyDescent="0.2">
      <c r="A43" s="240"/>
      <c r="B43" s="240"/>
      <c r="J43" s="241"/>
      <c r="K43" s="230"/>
    </row>
    <row r="44" spans="1:11" x14ac:dyDescent="0.2">
      <c r="A44" s="240"/>
      <c r="B44" s="240"/>
      <c r="J44" s="241"/>
      <c r="K44" s="230"/>
    </row>
    <row r="45" spans="1:11" x14ac:dyDescent="0.2">
      <c r="A45" s="240"/>
      <c r="B45" s="240"/>
      <c r="J45" s="241"/>
      <c r="K45" s="230"/>
    </row>
    <row r="46" spans="1:11" ht="7.5" customHeight="1" x14ac:dyDescent="0.2">
      <c r="A46" s="240"/>
      <c r="B46" s="240"/>
      <c r="J46" s="241"/>
      <c r="K46" s="230"/>
    </row>
    <row r="47" spans="1:11" ht="14.25" customHeight="1" x14ac:dyDescent="0.2">
      <c r="A47" s="240"/>
      <c r="B47" s="240"/>
      <c r="J47" s="241"/>
      <c r="K47" s="230"/>
    </row>
    <row r="48" spans="1:11" ht="6" customHeight="1" x14ac:dyDescent="0.2">
      <c r="A48" s="240"/>
      <c r="B48" s="240"/>
      <c r="C48" s="242"/>
      <c r="D48" s="243"/>
      <c r="H48" s="244"/>
      <c r="J48" s="241"/>
      <c r="K48" s="230"/>
    </row>
    <row r="49" spans="1:11" ht="22.5" customHeight="1" x14ac:dyDescent="0.35">
      <c r="A49" s="240"/>
      <c r="B49" s="240"/>
      <c r="C49" s="245">
        <f>'2_Fiche projet'!G5</f>
        <v>0</v>
      </c>
      <c r="D49" s="246"/>
      <c r="H49" s="247"/>
      <c r="J49" s="241"/>
      <c r="K49" s="230"/>
    </row>
    <row r="50" spans="1:11" ht="6.75" customHeight="1" x14ac:dyDescent="0.3">
      <c r="A50" s="240"/>
      <c r="B50" s="240"/>
      <c r="C50" s="248"/>
      <c r="D50" s="249"/>
      <c r="H50" s="247"/>
      <c r="J50" s="241"/>
      <c r="K50" s="230"/>
    </row>
    <row r="51" spans="1:11" ht="20.25" x14ac:dyDescent="0.3">
      <c r="A51" s="240"/>
      <c r="B51" s="240"/>
      <c r="C51" s="250" t="s">
        <v>233</v>
      </c>
      <c r="D51" s="251">
        <f>'1_Lettre de demande'!N14</f>
        <v>0</v>
      </c>
      <c r="H51" s="247"/>
      <c r="J51" s="241"/>
      <c r="K51" s="230"/>
    </row>
    <row r="52" spans="1:11" ht="20.25" x14ac:dyDescent="0.3">
      <c r="A52" s="240"/>
      <c r="B52" s="240"/>
      <c r="C52" s="250" t="s">
        <v>241</v>
      </c>
      <c r="D52" s="251">
        <f>'5_Budget et financement'!X19</f>
        <v>0</v>
      </c>
      <c r="H52" s="247"/>
      <c r="J52" s="241"/>
      <c r="K52" s="230"/>
    </row>
    <row r="53" spans="1:11" ht="21" customHeight="1" x14ac:dyDescent="0.25">
      <c r="A53" s="240"/>
      <c r="B53" s="240"/>
      <c r="C53" s="250" t="s">
        <v>234</v>
      </c>
      <c r="D53" s="272">
        <f>'2_Fiche projet'!M9</f>
        <v>0</v>
      </c>
      <c r="H53" s="247"/>
      <c r="J53" s="241"/>
      <c r="K53" s="230"/>
    </row>
    <row r="54" spans="1:11" ht="21" customHeight="1" x14ac:dyDescent="0.25">
      <c r="A54" s="240"/>
      <c r="B54" s="240"/>
      <c r="C54" s="271" t="s">
        <v>235</v>
      </c>
      <c r="D54" s="272">
        <f>'2_Fiche projet'!M7</f>
        <v>0</v>
      </c>
      <c r="H54" s="247"/>
      <c r="J54" s="241"/>
      <c r="K54" s="230"/>
    </row>
    <row r="55" spans="1:11" ht="21" customHeight="1" x14ac:dyDescent="0.25">
      <c r="A55" s="240"/>
      <c r="B55" s="240"/>
      <c r="C55" s="271" t="s">
        <v>242</v>
      </c>
      <c r="D55" s="272">
        <f>'3_Fiche auteurs '!I5</f>
        <v>0</v>
      </c>
      <c r="H55" s="247"/>
      <c r="J55" s="241"/>
      <c r="K55" s="230"/>
    </row>
    <row r="56" spans="1:11" ht="21" customHeight="1" x14ac:dyDescent="0.25">
      <c r="A56" s="240"/>
      <c r="B56" s="240"/>
      <c r="C56" s="271"/>
      <c r="D56" s="273">
        <f>'3_Fiche auteurs '!I18</f>
        <v>0</v>
      </c>
      <c r="H56" s="247"/>
      <c r="J56" s="241"/>
      <c r="K56" s="230"/>
    </row>
    <row r="57" spans="1:11" ht="21" customHeight="1" x14ac:dyDescent="0.25">
      <c r="A57" s="240"/>
      <c r="B57" s="240"/>
      <c r="C57" s="271"/>
      <c r="D57" s="273">
        <f>'3_Fiche auteurs '!I31</f>
        <v>0</v>
      </c>
      <c r="H57" s="247"/>
      <c r="J57" s="241"/>
      <c r="K57" s="230"/>
    </row>
    <row r="58" spans="1:11" ht="21" customHeight="1" x14ac:dyDescent="0.25">
      <c r="A58" s="240"/>
      <c r="B58" s="240"/>
      <c r="C58" s="250"/>
      <c r="D58" s="273">
        <f>'3_Fiche auteurs '!I44</f>
        <v>0</v>
      </c>
      <c r="H58" s="247"/>
      <c r="J58" s="241"/>
      <c r="K58" s="230"/>
    </row>
    <row r="59" spans="1:11" ht="18" x14ac:dyDescent="0.25">
      <c r="A59" s="240"/>
      <c r="B59" s="240"/>
      <c r="C59" s="253"/>
      <c r="D59" s="274">
        <f>'3_Fiche auteurs '!I57</f>
        <v>0</v>
      </c>
      <c r="H59" s="247"/>
      <c r="J59" s="241"/>
      <c r="K59" s="230"/>
    </row>
    <row r="60" spans="1:11" ht="20.25" x14ac:dyDescent="0.3">
      <c r="A60" s="240"/>
      <c r="B60" s="240"/>
      <c r="C60" s="254"/>
      <c r="H60" s="247"/>
      <c r="J60" s="241"/>
      <c r="K60" s="230"/>
    </row>
    <row r="61" spans="1:11" ht="15" x14ac:dyDescent="0.2">
      <c r="A61" s="240"/>
      <c r="B61" s="240"/>
      <c r="H61" s="255" t="s">
        <v>236</v>
      </c>
      <c r="J61" s="241"/>
      <c r="K61" s="230"/>
    </row>
    <row r="62" spans="1:11" ht="20.25" x14ac:dyDescent="0.3">
      <c r="A62" s="240"/>
      <c r="B62" s="240"/>
      <c r="C62" s="275" t="s">
        <v>237</v>
      </c>
      <c r="D62" s="276"/>
      <c r="H62" s="247"/>
      <c r="J62" s="241"/>
      <c r="K62" s="230"/>
    </row>
    <row r="63" spans="1:11" ht="15" x14ac:dyDescent="0.2">
      <c r="A63" s="240"/>
      <c r="B63" s="240"/>
      <c r="C63" s="255" t="s">
        <v>238</v>
      </c>
      <c r="D63" s="255"/>
      <c r="H63" s="247"/>
      <c r="J63" s="241"/>
      <c r="K63" s="230"/>
    </row>
    <row r="64" spans="1:11" x14ac:dyDescent="0.2">
      <c r="A64" s="240"/>
      <c r="B64" s="240"/>
      <c r="C64" s="256"/>
      <c r="D64" s="252"/>
      <c r="H64" s="247"/>
      <c r="J64" s="241"/>
      <c r="K64" s="230"/>
    </row>
    <row r="65" spans="1:11" x14ac:dyDescent="0.2">
      <c r="A65" s="240"/>
      <c r="B65" s="240"/>
      <c r="C65" s="256"/>
      <c r="D65" s="252"/>
      <c r="H65" s="247"/>
      <c r="J65" s="241"/>
      <c r="K65" s="230"/>
    </row>
    <row r="66" spans="1:11" x14ac:dyDescent="0.2">
      <c r="A66" s="240"/>
      <c r="B66" s="240"/>
      <c r="C66" s="256"/>
      <c r="D66" s="252"/>
      <c r="H66" s="247"/>
      <c r="J66" s="241"/>
      <c r="K66" s="230"/>
    </row>
    <row r="67" spans="1:11" x14ac:dyDescent="0.2">
      <c r="A67" s="240"/>
      <c r="B67" s="240"/>
      <c r="C67" s="256"/>
      <c r="D67" s="252"/>
      <c r="H67" s="247"/>
      <c r="J67" s="241"/>
      <c r="K67" s="230"/>
    </row>
    <row r="68" spans="1:11" x14ac:dyDescent="0.2">
      <c r="A68" s="240"/>
      <c r="B68" s="240"/>
      <c r="C68" s="256"/>
      <c r="D68" s="252"/>
      <c r="H68" s="247"/>
      <c r="J68" s="241"/>
      <c r="K68" s="230"/>
    </row>
    <row r="69" spans="1:11" x14ac:dyDescent="0.2">
      <c r="A69" s="240"/>
      <c r="B69" s="240"/>
      <c r="C69" s="256"/>
      <c r="D69" s="252"/>
      <c r="H69" s="247"/>
      <c r="J69" s="241"/>
      <c r="K69" s="230"/>
    </row>
    <row r="70" spans="1:11" x14ac:dyDescent="0.2">
      <c r="A70" s="240"/>
      <c r="B70" s="240"/>
      <c r="C70" s="256"/>
      <c r="D70" s="252"/>
      <c r="H70" s="247"/>
      <c r="J70" s="241"/>
      <c r="K70" s="230"/>
    </row>
    <row r="71" spans="1:11" x14ac:dyDescent="0.2">
      <c r="A71" s="240"/>
      <c r="B71" s="240"/>
      <c r="C71" s="256"/>
      <c r="D71" s="252"/>
      <c r="H71" s="247"/>
      <c r="J71" s="241"/>
      <c r="K71" s="230"/>
    </row>
    <row r="72" spans="1:11" x14ac:dyDescent="0.2">
      <c r="A72" s="240"/>
      <c r="B72" s="240"/>
      <c r="C72" s="256"/>
      <c r="D72" s="252"/>
      <c r="H72" s="247"/>
      <c r="J72" s="241"/>
      <c r="K72" s="230"/>
    </row>
    <row r="73" spans="1:11" x14ac:dyDescent="0.2">
      <c r="A73" s="240"/>
      <c r="B73" s="240"/>
      <c r="C73" s="256"/>
      <c r="D73" s="252"/>
      <c r="H73" s="247"/>
      <c r="J73" s="241"/>
      <c r="K73" s="230"/>
    </row>
    <row r="74" spans="1:11" x14ac:dyDescent="0.2">
      <c r="A74" s="240"/>
      <c r="B74" s="240"/>
      <c r="C74" s="256"/>
      <c r="D74" s="252"/>
      <c r="H74" s="247"/>
      <c r="J74" s="241"/>
      <c r="K74" s="230"/>
    </row>
    <row r="75" spans="1:11" x14ac:dyDescent="0.2">
      <c r="A75" s="240"/>
      <c r="B75" s="240"/>
      <c r="C75" s="256"/>
      <c r="D75" s="252"/>
      <c r="H75" s="247"/>
      <c r="J75" s="241"/>
      <c r="K75" s="230"/>
    </row>
    <row r="76" spans="1:11" x14ac:dyDescent="0.2">
      <c r="A76" s="240"/>
      <c r="B76" s="240"/>
      <c r="C76" s="256"/>
      <c r="D76" s="252"/>
      <c r="H76" s="247"/>
      <c r="J76" s="241"/>
      <c r="K76" s="230"/>
    </row>
    <row r="77" spans="1:11" x14ac:dyDescent="0.2">
      <c r="A77" s="240"/>
      <c r="B77" s="240"/>
      <c r="C77" s="256"/>
      <c r="D77" s="252"/>
      <c r="H77" s="247"/>
      <c r="J77" s="241"/>
      <c r="K77" s="230"/>
    </row>
    <row r="78" spans="1:11" x14ac:dyDescent="0.2">
      <c r="A78" s="240"/>
      <c r="B78" s="240"/>
      <c r="C78" s="256"/>
      <c r="D78" s="252"/>
      <c r="H78" s="247"/>
      <c r="J78" s="241"/>
      <c r="K78" s="230"/>
    </row>
    <row r="79" spans="1:11" x14ac:dyDescent="0.2">
      <c r="A79" s="240"/>
      <c r="B79" s="240"/>
      <c r="C79" s="256"/>
      <c r="D79" s="252"/>
      <c r="H79" s="247"/>
      <c r="J79" s="241"/>
      <c r="K79" s="230"/>
    </row>
    <row r="80" spans="1:11" x14ac:dyDescent="0.2">
      <c r="A80" s="240"/>
      <c r="B80" s="240"/>
      <c r="C80" s="256"/>
      <c r="D80" s="252"/>
      <c r="H80" s="247"/>
      <c r="J80" s="241"/>
      <c r="K80" s="230"/>
    </row>
    <row r="81" spans="1:11" x14ac:dyDescent="0.2">
      <c r="A81" s="240"/>
      <c r="B81" s="240"/>
      <c r="C81" s="256"/>
      <c r="D81" s="252"/>
      <c r="H81" s="247"/>
      <c r="J81" s="241"/>
      <c r="K81" s="230"/>
    </row>
    <row r="82" spans="1:11" x14ac:dyDescent="0.2">
      <c r="A82" s="240"/>
      <c r="B82" s="240"/>
      <c r="C82" s="256"/>
      <c r="D82" s="252"/>
      <c r="H82" s="247"/>
      <c r="J82" s="241"/>
      <c r="K82" s="230"/>
    </row>
    <row r="83" spans="1:11" x14ac:dyDescent="0.2">
      <c r="A83" s="240"/>
      <c r="B83" s="240"/>
      <c r="C83" s="256"/>
      <c r="D83" s="252"/>
      <c r="H83" s="247"/>
      <c r="J83" s="241"/>
      <c r="K83" s="230"/>
    </row>
    <row r="84" spans="1:11" x14ac:dyDescent="0.2">
      <c r="A84" s="240"/>
      <c r="B84" s="240"/>
      <c r="C84" s="256"/>
      <c r="D84" s="252"/>
      <c r="H84" s="247"/>
      <c r="J84" s="241"/>
      <c r="K84" s="230"/>
    </row>
    <row r="85" spans="1:11" x14ac:dyDescent="0.2">
      <c r="A85" s="240"/>
      <c r="B85" s="240"/>
      <c r="C85" s="256"/>
      <c r="D85" s="252"/>
      <c r="H85" s="247"/>
      <c r="J85" s="241"/>
      <c r="K85" s="230"/>
    </row>
    <row r="86" spans="1:11" x14ac:dyDescent="0.2">
      <c r="A86" s="240"/>
      <c r="B86" s="240"/>
      <c r="C86" s="257"/>
      <c r="D86" s="258"/>
      <c r="H86" s="259"/>
      <c r="J86" s="241"/>
      <c r="K86" s="230"/>
    </row>
    <row r="87" spans="1:11" x14ac:dyDescent="0.2">
      <c r="A87" s="240"/>
      <c r="B87" s="240"/>
      <c r="H87" s="260" t="s">
        <v>239</v>
      </c>
      <c r="J87" s="241"/>
      <c r="K87" s="230"/>
    </row>
    <row r="88" spans="1:11" x14ac:dyDescent="0.2">
      <c r="A88" s="240"/>
      <c r="B88" s="240"/>
      <c r="J88" s="241"/>
      <c r="K88" s="230"/>
    </row>
    <row r="89" spans="1:11" x14ac:dyDescent="0.2">
      <c r="A89" s="240"/>
      <c r="B89" s="240"/>
      <c r="J89" s="241"/>
      <c r="K89" s="230"/>
    </row>
    <row r="90" spans="1:11" x14ac:dyDescent="0.2">
      <c r="A90" s="240"/>
      <c r="B90" s="240"/>
      <c r="J90" s="241"/>
      <c r="K90" s="230"/>
    </row>
    <row r="91" spans="1:11" ht="15" customHeight="1" x14ac:dyDescent="0.2">
      <c r="A91" s="239"/>
      <c r="B91" s="239"/>
      <c r="C91" s="184"/>
      <c r="D91" s="184"/>
      <c r="E91" s="261"/>
      <c r="J91" s="230"/>
      <c r="K91" s="230"/>
    </row>
    <row r="92" spans="1:11" x14ac:dyDescent="0.2">
      <c r="J92" s="230"/>
      <c r="K92" s="230"/>
    </row>
    <row r="95" spans="1:11" x14ac:dyDescent="0.2">
      <c r="C95" s="262"/>
      <c r="D95" s="262"/>
      <c r="E95" s="261"/>
    </row>
  </sheetData>
  <sheetProtection algorithmName="SHA-512" hashValue="NHCOjSUtByVE8pFrZRLPDzoOvMfS90+NNCpBuVpbnDMglszlzC4trMuICViLJgnoS09ZJQd3i7cr5c7xKLGRnQ==" saltValue="y2eFpPXvqNdvG5mj32BQFg==" spinCount="100000" sheet="1" selectLockedCells="1"/>
  <printOptions horizontalCentered="1"/>
  <pageMargins left="0.19685039370078741" right="0.19685039370078741" top="0.51181102362204722" bottom="0.59055118110236227" header="0.51181102362204722" footer="0.31496062992125984"/>
  <pageSetup paperSize="9" scale="71" orientation="landscape" r:id="rId1"/>
  <headerFooter alignWithMargins="0">
    <oddFooter>&amp;L&amp;9FAJV - Aide à la préproduction - &amp;A&amp;R&amp;9&amp;D</oddFooter>
  </headerFooter>
  <rowBreaks count="1" manualBreakCount="1">
    <brk id="93" max="3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6"/>
  <dimension ref="AA1:CK122"/>
  <sheetViews>
    <sheetView showGridLines="0" zoomScaleNormal="100" zoomScaleSheetLayoutView="100" workbookViewId="0">
      <selection activeCell="E8" sqref="E8"/>
    </sheetView>
  </sheetViews>
  <sheetFormatPr baseColWidth="10" defaultRowHeight="12.75" x14ac:dyDescent="0.2"/>
  <cols>
    <col min="27" max="27" width="1.42578125" hidden="1" customWidth="1"/>
    <col min="28" max="52" width="3.7109375" hidden="1" customWidth="1"/>
    <col min="53" max="53" width="1.7109375" hidden="1" customWidth="1"/>
    <col min="54" max="56" width="3.7109375" hidden="1" customWidth="1"/>
    <col min="57" max="57" width="1.7109375" hidden="1" customWidth="1"/>
    <col min="58" max="59" width="3.7109375" hidden="1" customWidth="1"/>
    <col min="60" max="60" width="1.7109375" hidden="1" customWidth="1"/>
    <col min="61" max="62" width="3.7109375" hidden="1" customWidth="1"/>
    <col min="63" max="63" width="1.7109375" hidden="1" customWidth="1"/>
    <col min="64" max="66" width="3.7109375" hidden="1" customWidth="1"/>
    <col min="67" max="67" width="7.28515625" hidden="1" customWidth="1"/>
    <col min="68" max="71" width="3.7109375" hidden="1" customWidth="1"/>
    <col min="72" max="72" width="1" hidden="1" customWidth="1"/>
    <col min="73" max="74" width="3.7109375" hidden="1" customWidth="1"/>
    <col min="75" max="75" width="5.7109375" hidden="1" customWidth="1"/>
    <col min="76" max="76" width="8" hidden="1" customWidth="1"/>
    <col min="77" max="77" width="3.7109375" hidden="1" customWidth="1"/>
    <col min="78" max="78" width="5.28515625" hidden="1" customWidth="1"/>
    <col min="79" max="89" width="3.7109375" hidden="1" customWidth="1"/>
    <col min="90" max="106" width="3.7109375" customWidth="1"/>
  </cols>
  <sheetData>
    <row r="1" spans="28:78" ht="69.75" customHeight="1" x14ac:dyDescent="0.2"/>
    <row r="2" spans="28:78" ht="39.75" customHeight="1" thickBot="1" x14ac:dyDescent="0.25">
      <c r="AB2" s="577" t="s">
        <v>4</v>
      </c>
      <c r="AC2" s="578"/>
      <c r="AD2" s="578"/>
      <c r="AE2" s="578"/>
      <c r="AF2" s="578"/>
      <c r="AG2" s="578"/>
      <c r="AH2" s="578"/>
      <c r="AI2" s="578"/>
      <c r="AJ2" s="578"/>
      <c r="AK2" s="578"/>
      <c r="AL2" s="578"/>
      <c r="AM2" s="578"/>
      <c r="AN2" s="578"/>
      <c r="AO2" s="578"/>
      <c r="AP2" s="578"/>
      <c r="AQ2" s="578"/>
      <c r="AR2" s="578"/>
      <c r="AS2" s="578"/>
      <c r="AT2" s="578"/>
      <c r="AU2" s="578"/>
      <c r="AV2" s="578"/>
      <c r="AW2" s="578"/>
      <c r="AX2" s="578"/>
      <c r="AY2" s="578"/>
      <c r="AZ2" s="578"/>
      <c r="BA2" s="578"/>
      <c r="BB2" s="578"/>
      <c r="BC2" s="578"/>
      <c r="BD2" s="578"/>
      <c r="BE2" s="578"/>
      <c r="BF2" s="578"/>
      <c r="BG2" s="578"/>
      <c r="BH2" s="578"/>
      <c r="BI2" s="578"/>
      <c r="BJ2" s="578"/>
      <c r="BK2" s="578"/>
      <c r="BL2" s="578"/>
      <c r="BM2" s="578"/>
      <c r="BN2" s="578"/>
      <c r="BO2" s="578"/>
      <c r="BP2" s="578"/>
      <c r="BQ2" s="578"/>
      <c r="BR2" s="578"/>
      <c r="BS2" s="579"/>
    </row>
    <row r="4" spans="28:78" x14ac:dyDescent="0.2">
      <c r="AB4" s="2" t="s">
        <v>9</v>
      </c>
      <c r="AC4" s="1"/>
      <c r="AD4" s="1"/>
      <c r="AE4" s="400">
        <f>'1_Lettre de demande'!J10</f>
        <v>0</v>
      </c>
      <c r="AF4" s="400"/>
      <c r="AG4" s="400"/>
      <c r="AH4" s="400"/>
      <c r="AI4" s="400"/>
      <c r="AJ4" s="400"/>
      <c r="AK4" s="400"/>
      <c r="AL4" s="400"/>
      <c r="AM4" s="400"/>
      <c r="AN4" s="400"/>
      <c r="AO4" s="400"/>
      <c r="AP4" s="400"/>
      <c r="AQ4" s="400"/>
      <c r="AR4" s="400"/>
      <c r="AS4" s="400"/>
      <c r="AT4" s="400"/>
      <c r="AU4" s="400"/>
      <c r="AV4" s="400"/>
      <c r="AW4" s="400"/>
      <c r="AX4" s="400"/>
      <c r="AY4" s="400"/>
      <c r="AZ4" s="400"/>
    </row>
    <row r="5" spans="28:78" ht="6" customHeight="1" x14ac:dyDescent="0.2">
      <c r="AB5" s="2"/>
      <c r="AC5" s="1"/>
      <c r="AD5" s="1"/>
      <c r="AE5" s="65"/>
      <c r="AF5" s="65"/>
      <c r="AG5" s="65"/>
      <c r="AH5" s="65"/>
      <c r="AI5" s="65"/>
      <c r="AJ5" s="65"/>
      <c r="AK5" s="65"/>
      <c r="AL5" s="65"/>
      <c r="AM5" s="65"/>
      <c r="AN5" s="65"/>
      <c r="AO5" s="65"/>
      <c r="AP5" s="65"/>
      <c r="AQ5" s="65"/>
      <c r="AR5" s="65"/>
      <c r="AS5" s="65"/>
      <c r="AT5" s="65"/>
      <c r="AU5" s="1"/>
      <c r="AV5" s="1"/>
      <c r="AW5" s="1"/>
      <c r="AX5" s="1"/>
      <c r="AY5" s="1"/>
      <c r="AZ5" s="1"/>
    </row>
    <row r="6" spans="28:78" x14ac:dyDescent="0.2">
      <c r="AB6" s="2" t="s">
        <v>10</v>
      </c>
      <c r="AC6" s="1"/>
      <c r="AD6" s="1"/>
      <c r="AE6" s="400" t="e">
        <f>'1_Lettre de demande'!#REF!</f>
        <v>#REF!</v>
      </c>
      <c r="AF6" s="400"/>
      <c r="AG6" s="400"/>
      <c r="AH6" s="400"/>
      <c r="AI6" s="400"/>
      <c r="AJ6" s="400"/>
      <c r="AK6" s="400"/>
      <c r="AL6" s="400"/>
      <c r="AM6" s="400"/>
      <c r="AN6" s="400"/>
      <c r="AO6" s="400"/>
      <c r="AP6" s="400"/>
      <c r="AQ6" s="400"/>
      <c r="AR6" s="400"/>
      <c r="AS6" s="400"/>
      <c r="AT6" s="400"/>
      <c r="AU6" s="400"/>
      <c r="AV6" s="400"/>
      <c r="AW6" s="400"/>
      <c r="AX6" s="400"/>
      <c r="AY6" s="400"/>
      <c r="AZ6" s="400"/>
    </row>
    <row r="8" spans="28:78" s="9" customFormat="1" ht="45" customHeight="1" thickBot="1" x14ac:dyDescent="0.25">
      <c r="AB8" s="563" t="s">
        <v>3</v>
      </c>
      <c r="AC8" s="564"/>
      <c r="AD8" s="564"/>
      <c r="AE8" s="564"/>
      <c r="AF8" s="564"/>
      <c r="AG8" s="564"/>
      <c r="AH8" s="564"/>
      <c r="AI8" s="564"/>
      <c r="AJ8" s="564"/>
      <c r="AK8" s="564"/>
      <c r="AL8" s="564"/>
      <c r="AM8" s="564"/>
      <c r="AN8" s="564"/>
      <c r="AO8" s="564"/>
      <c r="AP8" s="564"/>
      <c r="AQ8" s="564"/>
      <c r="AR8" s="564"/>
      <c r="AS8" s="564"/>
      <c r="AT8" s="564"/>
      <c r="AU8" s="564"/>
      <c r="AV8" s="564"/>
      <c r="AW8" s="564"/>
      <c r="AX8" s="564"/>
      <c r="AY8" s="564"/>
      <c r="AZ8" s="565"/>
      <c r="BB8" s="557" t="s">
        <v>22</v>
      </c>
      <c r="BC8" s="558"/>
      <c r="BD8" s="559"/>
      <c r="BE8" s="28"/>
      <c r="BF8" s="28"/>
      <c r="BG8" s="28"/>
      <c r="BH8" s="28"/>
      <c r="BI8" s="28"/>
      <c r="BJ8" s="28"/>
      <c r="BK8" s="28"/>
      <c r="BL8" s="566" t="s">
        <v>2</v>
      </c>
      <c r="BM8" s="567"/>
      <c r="BN8" s="568"/>
      <c r="BO8" s="28"/>
      <c r="BP8" s="560" t="s">
        <v>54</v>
      </c>
      <c r="BQ8" s="561"/>
      <c r="BR8" s="562"/>
      <c r="BS8" s="28"/>
    </row>
    <row r="10" spans="28:78" s="6" customFormat="1" ht="13.5" thickBot="1" x14ac:dyDescent="0.25">
      <c r="AB10" s="7" t="s">
        <v>63</v>
      </c>
      <c r="AC10" s="12"/>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C10" s="17">
        <v>3</v>
      </c>
      <c r="BF10" s="37"/>
      <c r="BG10" s="38"/>
      <c r="BI10" s="48"/>
      <c r="BJ10" s="48"/>
      <c r="BK10" s="27"/>
      <c r="BM10" s="42">
        <f>IF(BW10=TRUE,3,0)</f>
        <v>0</v>
      </c>
      <c r="BQ10" s="62"/>
      <c r="BW10" s="7" t="b">
        <v>0</v>
      </c>
      <c r="BX10" s="6" t="b">
        <v>0</v>
      </c>
      <c r="BZ10" s="7"/>
    </row>
    <row r="11" spans="28:78" s="10" customFormat="1" ht="6" customHeight="1" x14ac:dyDescent="0.2">
      <c r="AB11" s="8"/>
      <c r="BC11" s="6"/>
      <c r="BM11" s="43"/>
      <c r="BQ11" s="60"/>
    </row>
    <row r="12" spans="28:78" s="6" customFormat="1" thickBot="1" x14ac:dyDescent="0.25">
      <c r="AB12" s="7" t="s">
        <v>64</v>
      </c>
      <c r="AC12" s="12"/>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C12" s="17">
        <v>3</v>
      </c>
      <c r="BF12" s="40"/>
      <c r="BG12" s="40"/>
      <c r="BI12" s="48"/>
      <c r="BJ12" s="48"/>
      <c r="BK12" s="27"/>
      <c r="BM12" s="42">
        <f>IF(BW12=TRUE,3,0)</f>
        <v>0</v>
      </c>
      <c r="BQ12" s="62"/>
      <c r="BW12" s="6" t="b">
        <v>0</v>
      </c>
    </row>
    <row r="13" spans="28:78" s="6" customFormat="1" ht="6" customHeight="1" x14ac:dyDescent="0.2">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C13" s="10"/>
      <c r="BM13" s="44"/>
      <c r="BQ13" s="61"/>
    </row>
    <row r="14" spans="28:78" s="6" customFormat="1" thickBot="1" x14ac:dyDescent="0.25">
      <c r="AB14" s="7" t="s">
        <v>57</v>
      </c>
      <c r="AC14" s="12"/>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C14" s="17">
        <v>2</v>
      </c>
      <c r="BF14" s="39"/>
      <c r="BG14" s="39"/>
      <c r="BI14" s="48"/>
      <c r="BJ14" s="48"/>
      <c r="BK14" s="27"/>
      <c r="BM14" s="42">
        <f>IF(BW14=TRUE,2,0)</f>
        <v>0</v>
      </c>
      <c r="BQ14" s="62"/>
      <c r="BW14" s="6" t="b">
        <v>0</v>
      </c>
    </row>
    <row r="15" spans="28:78" s="6" customFormat="1" ht="6" customHeight="1" x14ac:dyDescent="0.2">
      <c r="BA15" s="11"/>
      <c r="BM15" s="43"/>
      <c r="BQ15" s="60"/>
    </row>
    <row r="16" spans="28:78" s="6" customFormat="1" thickBot="1" x14ac:dyDescent="0.25">
      <c r="AB16" s="7" t="s">
        <v>58</v>
      </c>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C16" s="17">
        <v>2</v>
      </c>
      <c r="BF16" s="40"/>
      <c r="BG16" s="40"/>
      <c r="BI16" s="48"/>
      <c r="BJ16" s="48"/>
      <c r="BK16" s="27"/>
      <c r="BM16" s="42">
        <f>IF(BW16=TRUE,2,0)</f>
        <v>0</v>
      </c>
      <c r="BQ16" s="62"/>
      <c r="BW16" s="6" t="b">
        <v>0</v>
      </c>
    </row>
    <row r="17" spans="28:75" s="6" customFormat="1" ht="6" customHeight="1" x14ac:dyDescent="0.2">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C17" s="30"/>
      <c r="BM17" s="44"/>
      <c r="BQ17" s="61"/>
    </row>
    <row r="18" spans="28:75" s="6" customFormat="1" thickBot="1" x14ac:dyDescent="0.25">
      <c r="AB18" s="7" t="s">
        <v>51</v>
      </c>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C18" s="17">
        <v>1</v>
      </c>
      <c r="BF18" s="40"/>
      <c r="BG18" s="40"/>
      <c r="BI18" s="48"/>
      <c r="BJ18" s="48"/>
      <c r="BK18" s="27"/>
      <c r="BM18" s="42">
        <f>IF(BW18=TRUE,1,0)</f>
        <v>0</v>
      </c>
      <c r="BQ18" s="62"/>
      <c r="BW18" s="6" t="b">
        <v>0</v>
      </c>
    </row>
    <row r="19" spans="28:75" s="6" customFormat="1" ht="6" customHeight="1" x14ac:dyDescent="0.2">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C19" s="30"/>
      <c r="BM19" s="30"/>
      <c r="BQ19" s="61"/>
    </row>
    <row r="20" spans="28:75" s="6" customFormat="1" ht="12" x14ac:dyDescent="0.2">
      <c r="AB20" s="7" t="s">
        <v>29</v>
      </c>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Q20" s="60"/>
      <c r="BW20" s="6" t="b">
        <v>0</v>
      </c>
    </row>
    <row r="21" spans="28:75" s="6" customFormat="1" ht="6" customHeight="1" x14ac:dyDescent="0.2">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C21" s="30"/>
      <c r="BM21" s="30"/>
      <c r="BQ21" s="61"/>
    </row>
    <row r="22" spans="28:75" s="6" customFormat="1" x14ac:dyDescent="0.2">
      <c r="AC22" s="6" t="s">
        <v>12</v>
      </c>
      <c r="AQ22" s="573" t="e">
        <f>#REF!</f>
        <v>#REF!</v>
      </c>
      <c r="AR22" s="573"/>
      <c r="AS22" s="573"/>
      <c r="AT22" s="573"/>
      <c r="AU22" s="573"/>
      <c r="AV22" s="573"/>
      <c r="AW22" s="573"/>
      <c r="BA22" s="11"/>
      <c r="BI22" s="26"/>
      <c r="BJ22" s="26"/>
      <c r="BK22" s="26"/>
      <c r="BL22" s="10"/>
      <c r="BM22" s="10"/>
      <c r="BN22" s="10"/>
      <c r="BO22" s="10"/>
      <c r="BQ22" s="61"/>
      <c r="BR22" s="10"/>
      <c r="BS22" s="10"/>
    </row>
    <row r="23" spans="28:75" s="6" customFormat="1" ht="3.75" customHeight="1" x14ac:dyDescent="0.2">
      <c r="BA23" s="11"/>
      <c r="BB23" s="11"/>
      <c r="BC23" s="11"/>
      <c r="BD23" s="11"/>
      <c r="BE23" s="11"/>
      <c r="BF23" s="11"/>
      <c r="BG23" s="11"/>
      <c r="BH23" s="11"/>
      <c r="BI23" s="11"/>
      <c r="BJ23" s="10"/>
      <c r="BK23" s="10"/>
      <c r="BL23" s="10"/>
      <c r="BM23" s="10"/>
      <c r="BN23" s="10"/>
      <c r="BO23" s="10"/>
      <c r="BQ23" s="61"/>
      <c r="BR23" s="10"/>
      <c r="BS23" s="10"/>
    </row>
    <row r="24" spans="28:75" s="6" customFormat="1" ht="12.75" customHeight="1" x14ac:dyDescent="0.2">
      <c r="AC24" s="6" t="s">
        <v>13</v>
      </c>
      <c r="AQ24" s="573" t="e">
        <f>#REF!</f>
        <v>#REF!</v>
      </c>
      <c r="AR24" s="573"/>
      <c r="AS24" s="573"/>
      <c r="AT24" s="573"/>
      <c r="AU24" s="573"/>
      <c r="AV24" s="573"/>
      <c r="AW24" s="573"/>
      <c r="BA24" s="11"/>
      <c r="BB24" s="11"/>
      <c r="BC24" s="11"/>
      <c r="BD24" s="11"/>
      <c r="BE24" s="11"/>
      <c r="BF24" s="11"/>
      <c r="BG24" s="11"/>
      <c r="BH24" s="11"/>
      <c r="BI24" s="11"/>
      <c r="BJ24" s="10"/>
      <c r="BK24" s="10"/>
      <c r="BL24" s="10"/>
      <c r="BM24" s="10"/>
      <c r="BN24" s="10"/>
      <c r="BO24" s="10"/>
      <c r="BQ24" s="61"/>
      <c r="BR24" s="10"/>
      <c r="BS24" s="10"/>
    </row>
    <row r="25" spans="28:75" s="6" customFormat="1" ht="4.5" customHeight="1" x14ac:dyDescent="0.2">
      <c r="BA25" s="11"/>
      <c r="BB25" s="11"/>
      <c r="BC25" s="11"/>
      <c r="BD25" s="11"/>
      <c r="BE25" s="11"/>
      <c r="BF25" s="11"/>
      <c r="BG25" s="11"/>
      <c r="BH25" s="11"/>
      <c r="BI25" s="11"/>
      <c r="BJ25" s="10"/>
      <c r="BK25" s="10"/>
      <c r="BL25" s="10"/>
      <c r="BM25" s="10"/>
      <c r="BN25" s="10"/>
      <c r="BO25" s="10"/>
      <c r="BQ25" s="61"/>
      <c r="BR25" s="10"/>
      <c r="BS25" s="10"/>
    </row>
    <row r="26" spans="28:75" s="6" customFormat="1" ht="12.75" customHeight="1" x14ac:dyDescent="0.2">
      <c r="AC26" s="6" t="s">
        <v>14</v>
      </c>
      <c r="AQ26" s="573" t="e">
        <f>AQ22+AQ24</f>
        <v>#REF!</v>
      </c>
      <c r="AR26" s="573"/>
      <c r="AS26" s="573"/>
      <c r="AT26" s="573"/>
      <c r="AU26" s="573"/>
      <c r="AV26" s="573"/>
      <c r="AW26" s="573"/>
      <c r="BA26" s="11"/>
      <c r="BB26" s="11"/>
      <c r="BC26" s="11"/>
      <c r="BD26" s="11"/>
      <c r="BE26" s="11"/>
      <c r="BF26" s="11"/>
      <c r="BG26" s="11"/>
      <c r="BH26" s="11"/>
      <c r="BI26" s="11"/>
      <c r="BJ26" s="10"/>
      <c r="BK26" s="10"/>
      <c r="BL26" s="10"/>
      <c r="BM26" s="10"/>
      <c r="BN26" s="10"/>
      <c r="BO26" s="10"/>
      <c r="BQ26" s="61"/>
      <c r="BR26" s="10"/>
      <c r="BS26" s="10"/>
    </row>
    <row r="27" spans="28:75" s="6" customFormat="1" ht="3.75" customHeight="1" x14ac:dyDescent="0.2">
      <c r="BA27" s="11"/>
      <c r="BB27" s="11"/>
      <c r="BC27" s="11"/>
      <c r="BD27" s="11"/>
      <c r="BE27" s="11"/>
      <c r="BF27" s="11"/>
      <c r="BG27" s="11"/>
      <c r="BH27" s="11"/>
      <c r="BI27" s="11"/>
      <c r="BJ27" s="10"/>
      <c r="BK27" s="10"/>
      <c r="BL27" s="10"/>
      <c r="BM27" s="10"/>
      <c r="BN27" s="10"/>
      <c r="BO27" s="10"/>
      <c r="BQ27" s="61"/>
      <c r="BR27" s="10"/>
      <c r="BS27" s="10"/>
    </row>
    <row r="28" spans="28:75" s="6" customFormat="1" ht="13.5" thickBot="1" x14ac:dyDescent="0.25">
      <c r="AC28" s="6" t="s">
        <v>30</v>
      </c>
      <c r="AQ28" s="573" t="e">
        <f>(AQ26*2)/3</f>
        <v>#REF!</v>
      </c>
      <c r="AR28" s="573"/>
      <c r="AS28" s="573"/>
      <c r="AT28" s="573"/>
      <c r="AU28" s="573"/>
      <c r="AV28" s="573"/>
      <c r="AW28" s="573"/>
      <c r="BA28" s="11"/>
      <c r="BC28" s="17">
        <v>9</v>
      </c>
      <c r="BF28" s="39"/>
      <c r="BG28" s="39"/>
      <c r="BI28" s="48"/>
      <c r="BJ28" s="48"/>
      <c r="BK28" s="27"/>
      <c r="BM28" s="42">
        <f>IF(BW28=TRUE,9,0)</f>
        <v>0</v>
      </c>
      <c r="BN28" s="10"/>
      <c r="BO28" s="10"/>
      <c r="BQ28" s="62"/>
      <c r="BR28" s="10"/>
      <c r="BS28" s="10"/>
      <c r="BW28" s="6" t="b">
        <v>0</v>
      </c>
    </row>
    <row r="29" spans="28:75" s="6" customFormat="1" ht="3.75" customHeight="1" x14ac:dyDescent="0.2">
      <c r="BA29" s="11"/>
      <c r="BB29" s="11"/>
      <c r="BC29" s="11"/>
      <c r="BD29" s="11"/>
      <c r="BE29" s="11"/>
      <c r="BF29" s="11"/>
      <c r="BG29" s="11"/>
      <c r="BH29" s="11"/>
      <c r="BI29" s="11"/>
      <c r="BJ29" s="10"/>
      <c r="BK29" s="10"/>
      <c r="BL29" s="10"/>
      <c r="BM29" s="10"/>
      <c r="BN29" s="10"/>
      <c r="BO29" s="10"/>
      <c r="BQ29" s="10"/>
      <c r="BR29" s="10"/>
      <c r="BS29" s="10"/>
    </row>
    <row r="30" spans="28:75" s="10" customFormat="1" ht="12" x14ac:dyDescent="0.2">
      <c r="BC30" s="6"/>
      <c r="BM30" s="6"/>
    </row>
    <row r="31" spans="28:75" s="25" customFormat="1" ht="15" customHeight="1" thickBot="1" x14ac:dyDescent="0.25">
      <c r="AB31" s="574" t="s">
        <v>31</v>
      </c>
      <c r="AC31" s="575"/>
      <c r="AD31" s="575"/>
      <c r="AE31" s="575"/>
      <c r="AF31" s="575"/>
      <c r="AG31" s="575"/>
      <c r="AH31" s="575"/>
      <c r="AI31" s="575"/>
      <c r="AJ31" s="575"/>
      <c r="AK31" s="575"/>
      <c r="AL31" s="575"/>
      <c r="AM31" s="575"/>
      <c r="AN31" s="575"/>
      <c r="AO31" s="575"/>
      <c r="AP31" s="575"/>
      <c r="AQ31" s="575"/>
      <c r="AR31" s="575"/>
      <c r="AS31" s="575"/>
      <c r="AT31" s="575"/>
      <c r="AU31" s="575"/>
      <c r="AV31" s="575"/>
      <c r="AW31" s="575"/>
      <c r="AX31" s="575"/>
      <c r="AY31" s="575"/>
      <c r="AZ31" s="575"/>
      <c r="BA31" s="575"/>
      <c r="BB31" s="575"/>
      <c r="BC31" s="575"/>
      <c r="BD31" s="575"/>
      <c r="BE31" s="575"/>
      <c r="BF31" s="575"/>
      <c r="BG31" s="575"/>
      <c r="BH31" s="575"/>
      <c r="BI31" s="575"/>
      <c r="BJ31" s="576"/>
      <c r="BK31" s="46"/>
      <c r="BM31" s="47">
        <f>BM10+BM12+BM14+BM16+BM18+BM28</f>
        <v>0</v>
      </c>
      <c r="BQ31" s="62">
        <f>BQ10+BQ12+BQ14+BQ16+BQ18+BQ28</f>
        <v>0</v>
      </c>
    </row>
    <row r="32" spans="28:75" s="10" customFormat="1" ht="12" x14ac:dyDescent="0.2">
      <c r="BC32" s="6"/>
      <c r="BM32" s="6"/>
    </row>
    <row r="33" spans="28:75" s="10" customFormat="1" ht="12" x14ac:dyDescent="0.2">
      <c r="BC33" s="6"/>
      <c r="BM33" s="6"/>
    </row>
    <row r="34" spans="28:75" s="9" customFormat="1" ht="45" customHeight="1" thickBot="1" x14ac:dyDescent="0.25">
      <c r="AB34" s="563" t="s">
        <v>5</v>
      </c>
      <c r="AC34" s="564"/>
      <c r="AD34" s="564"/>
      <c r="AE34" s="564"/>
      <c r="AF34" s="564"/>
      <c r="AG34" s="564"/>
      <c r="AH34" s="564"/>
      <c r="AI34" s="564"/>
      <c r="AJ34" s="564"/>
      <c r="AK34" s="564"/>
      <c r="AL34" s="564"/>
      <c r="AM34" s="564"/>
      <c r="AN34" s="564"/>
      <c r="AO34" s="564"/>
      <c r="AP34" s="564"/>
      <c r="AQ34" s="564"/>
      <c r="AR34" s="564"/>
      <c r="AS34" s="564"/>
      <c r="AT34" s="564"/>
      <c r="AU34" s="564"/>
      <c r="AV34" s="564"/>
      <c r="AW34" s="564"/>
      <c r="AX34" s="564"/>
      <c r="AY34" s="564"/>
      <c r="AZ34" s="565"/>
      <c r="BB34" s="557" t="s">
        <v>22</v>
      </c>
      <c r="BC34" s="558"/>
      <c r="BD34" s="559"/>
      <c r="BE34" s="28"/>
      <c r="BF34" s="28"/>
      <c r="BG34" s="28"/>
      <c r="BH34" s="28"/>
      <c r="BI34" s="28"/>
      <c r="BJ34" s="28"/>
      <c r="BK34" s="28"/>
      <c r="BL34" s="566" t="s">
        <v>2</v>
      </c>
      <c r="BM34" s="567"/>
      <c r="BN34" s="568"/>
      <c r="BO34" s="28"/>
      <c r="BP34" s="560" t="s">
        <v>54</v>
      </c>
      <c r="BQ34" s="561"/>
      <c r="BR34" s="562"/>
      <c r="BS34" s="28"/>
    </row>
    <row r="35" spans="28:75" s="10" customFormat="1" ht="12" x14ac:dyDescent="0.2">
      <c r="BC35" s="6"/>
      <c r="BM35" s="6"/>
    </row>
    <row r="36" spans="28:75" s="2" customFormat="1" x14ac:dyDescent="0.2">
      <c r="AB36" s="56" t="s">
        <v>59</v>
      </c>
      <c r="AC36" s="57"/>
      <c r="AD36" s="57"/>
      <c r="AE36" s="57"/>
      <c r="AF36" s="57"/>
      <c r="AG36" s="57"/>
      <c r="AH36" s="57"/>
      <c r="AI36" s="57"/>
      <c r="AJ36" s="57"/>
      <c r="AK36" s="54"/>
      <c r="AL36" s="54"/>
      <c r="AM36" s="54"/>
      <c r="AN36" s="54"/>
      <c r="AO36" s="54"/>
      <c r="AP36" s="54"/>
      <c r="AQ36" s="54"/>
      <c r="AR36" s="54"/>
      <c r="AS36" s="54"/>
      <c r="AT36" s="54"/>
      <c r="AU36" s="54"/>
      <c r="AV36" s="54"/>
      <c r="AW36" s="54"/>
      <c r="AX36" s="54"/>
      <c r="AY36" s="54"/>
      <c r="AZ36" s="54"/>
      <c r="BA36" s="1"/>
      <c r="BB36" s="1"/>
      <c r="BC36" s="1"/>
      <c r="BD36" s="1"/>
      <c r="BE36" s="1"/>
      <c r="BF36" s="1"/>
    </row>
    <row r="37" spans="28:75" s="6" customFormat="1" ht="6" customHeight="1" x14ac:dyDescent="0.2">
      <c r="AK37" s="7"/>
      <c r="AL37" s="7"/>
      <c r="AM37" s="7"/>
      <c r="AN37" s="7"/>
      <c r="AO37" s="7"/>
      <c r="AP37" s="7"/>
      <c r="AQ37" s="7"/>
      <c r="AR37" s="7"/>
      <c r="AS37" s="7"/>
      <c r="AT37" s="7"/>
      <c r="AU37" s="7"/>
      <c r="AV37" s="7"/>
      <c r="AW37" s="7"/>
      <c r="AX37" s="7"/>
      <c r="AY37" s="7"/>
      <c r="AZ37" s="7"/>
      <c r="BA37" s="7"/>
      <c r="BB37" s="7"/>
      <c r="BC37" s="7"/>
      <c r="BD37" s="7"/>
      <c r="BE37" s="7"/>
      <c r="BF37" s="7"/>
    </row>
    <row r="38" spans="28:75" s="2" customFormat="1" x14ac:dyDescent="0.2">
      <c r="AC38" s="2" t="s">
        <v>55</v>
      </c>
      <c r="AH38" s="14"/>
      <c r="AI38" s="14"/>
      <c r="AJ38" s="14"/>
      <c r="AK38" s="14"/>
      <c r="AL38" s="14"/>
      <c r="AM38" s="14"/>
      <c r="AN38" s="14"/>
      <c r="AO38" s="14"/>
      <c r="AP38" s="14"/>
      <c r="AQ38" s="14"/>
      <c r="AR38" s="14"/>
      <c r="AS38" s="14"/>
      <c r="AT38" s="14"/>
      <c r="AU38" s="14"/>
      <c r="AV38" s="14"/>
      <c r="AW38" s="14"/>
      <c r="AX38" s="14"/>
      <c r="AY38" s="14"/>
      <c r="AZ38" s="14"/>
      <c r="BA38" s="14"/>
      <c r="BB38" s="14"/>
    </row>
    <row r="39" spans="28:75" s="6" customFormat="1" ht="4.5" customHeight="1" x14ac:dyDescent="0.2">
      <c r="AH39" s="8"/>
      <c r="AI39" s="8"/>
      <c r="AJ39" s="8"/>
      <c r="AK39" s="8"/>
      <c r="AL39" s="8"/>
      <c r="AM39" s="8"/>
      <c r="AN39" s="8"/>
      <c r="AO39" s="8"/>
      <c r="AP39" s="8"/>
      <c r="AQ39" s="8"/>
      <c r="AR39" s="8"/>
      <c r="AS39" s="8"/>
      <c r="AT39" s="8"/>
      <c r="AU39" s="8"/>
      <c r="AV39" s="8"/>
      <c r="AW39" s="8"/>
      <c r="AX39" s="8"/>
      <c r="AY39" s="8"/>
      <c r="AZ39" s="8"/>
      <c r="BA39" s="8"/>
      <c r="BB39" s="8"/>
    </row>
    <row r="40" spans="28:75" s="2" customFormat="1" ht="13.5" thickBot="1" x14ac:dyDescent="0.25">
      <c r="AC40" s="2" t="s">
        <v>52</v>
      </c>
      <c r="AF40" s="400" t="e">
        <f>#REF!</f>
        <v>#REF!</v>
      </c>
      <c r="AG40" s="400"/>
      <c r="AH40" s="400"/>
      <c r="AI40" s="400"/>
      <c r="AJ40" s="400"/>
      <c r="AK40" s="400"/>
      <c r="AL40" s="400"/>
      <c r="AM40" s="400"/>
      <c r="AN40" s="400"/>
      <c r="AO40" s="400"/>
      <c r="AP40" s="400"/>
      <c r="AQ40" s="400"/>
      <c r="AR40" s="400"/>
      <c r="AS40" s="400"/>
      <c r="AT40" s="400"/>
      <c r="AU40" s="400"/>
      <c r="AV40" s="400"/>
      <c r="AW40" s="400"/>
      <c r="AX40" s="400"/>
      <c r="AY40" s="400"/>
      <c r="AZ40" s="400"/>
      <c r="BA40" s="31"/>
      <c r="BB40" s="31"/>
      <c r="BC40" s="24">
        <v>4</v>
      </c>
      <c r="BD40" s="31"/>
      <c r="BE40" s="31"/>
      <c r="BF40" s="39"/>
      <c r="BG40" s="39"/>
      <c r="BH40" s="6"/>
      <c r="BI40" s="29"/>
      <c r="BJ40" s="29"/>
      <c r="BK40" s="27"/>
      <c r="BL40" s="6"/>
      <c r="BM40" s="42">
        <f>IF(BW40=TRUE,4,0)</f>
        <v>0</v>
      </c>
      <c r="BQ40" s="62"/>
      <c r="BW40" s="2" t="b">
        <v>0</v>
      </c>
    </row>
    <row r="41" spans="28:75" s="6" customFormat="1" ht="4.5" customHeight="1" x14ac:dyDescent="0.2">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Q41" s="60"/>
    </row>
    <row r="42" spans="28:75" s="6" customFormat="1" ht="12" x14ac:dyDescent="0.2">
      <c r="AB42" s="23" t="s">
        <v>56</v>
      </c>
      <c r="AK42" s="7"/>
      <c r="AL42" s="7"/>
      <c r="AM42" s="7"/>
      <c r="AN42" s="7"/>
      <c r="AO42" s="7"/>
      <c r="AP42" s="7"/>
      <c r="AQ42" s="7"/>
      <c r="AR42" s="7"/>
      <c r="AS42" s="7"/>
      <c r="AT42" s="7"/>
      <c r="AU42" s="7"/>
      <c r="AV42" s="7"/>
      <c r="AW42" s="7"/>
      <c r="AX42" s="7"/>
      <c r="AY42" s="7"/>
      <c r="AZ42" s="7"/>
      <c r="BA42" s="7"/>
      <c r="BB42" s="7"/>
      <c r="BC42" s="7"/>
      <c r="BD42" s="7"/>
      <c r="BE42" s="7"/>
      <c r="BQ42" s="60"/>
    </row>
    <row r="43" spans="28:75" s="2" customFormat="1" x14ac:dyDescent="0.2">
      <c r="AC43" s="2" t="s">
        <v>53</v>
      </c>
      <c r="BQ43" s="63"/>
      <c r="BR43" s="32"/>
    </row>
    <row r="44" spans="28:75" s="6" customFormat="1" ht="4.5" customHeight="1" x14ac:dyDescent="0.2">
      <c r="BQ44" s="60"/>
    </row>
    <row r="45" spans="28:75" s="2" customFormat="1" ht="13.5" thickBot="1" x14ac:dyDescent="0.25">
      <c r="AC45" s="2" t="s">
        <v>52</v>
      </c>
      <c r="AF45" s="400" t="e">
        <f>#REF!</f>
        <v>#REF!</v>
      </c>
      <c r="AG45" s="400"/>
      <c r="AH45" s="400"/>
      <c r="AI45" s="400"/>
      <c r="AJ45" s="400"/>
      <c r="AK45" s="400"/>
      <c r="AL45" s="400"/>
      <c r="AM45" s="400"/>
      <c r="AN45" s="400"/>
      <c r="AO45" s="400"/>
      <c r="AP45" s="400"/>
      <c r="AQ45" s="400"/>
      <c r="AR45" s="400"/>
      <c r="AS45" s="400"/>
      <c r="AT45" s="400"/>
      <c r="AU45" s="400"/>
      <c r="AV45" s="400"/>
      <c r="AW45" s="400"/>
      <c r="AX45" s="400"/>
      <c r="AY45" s="400"/>
      <c r="AZ45" s="400"/>
      <c r="BA45" s="31"/>
      <c r="BB45" s="31"/>
      <c r="BC45" s="24">
        <v>2</v>
      </c>
      <c r="BD45" s="31"/>
      <c r="BE45" s="31"/>
      <c r="BF45" s="39"/>
      <c r="BG45" s="39"/>
      <c r="BH45" s="6"/>
      <c r="BI45" s="29"/>
      <c r="BJ45" s="29"/>
      <c r="BK45" s="27"/>
      <c r="BL45" s="6"/>
      <c r="BM45" s="42">
        <f>IF(BW45=TRUE,2,0)</f>
        <v>0</v>
      </c>
      <c r="BQ45" s="62"/>
      <c r="BW45" s="6" t="b">
        <v>0</v>
      </c>
    </row>
    <row r="46" spans="28:75" s="6" customFormat="1" ht="12" x14ac:dyDescent="0.2">
      <c r="AI46" s="7"/>
      <c r="AJ46" s="7"/>
      <c r="AK46" s="7"/>
      <c r="AL46" s="7"/>
      <c r="AM46" s="7"/>
      <c r="AN46" s="7"/>
      <c r="BQ46" s="60"/>
    </row>
    <row r="47" spans="28:75" s="2" customFormat="1" ht="13.5" thickBot="1" x14ac:dyDescent="0.25">
      <c r="AB47" s="56" t="s">
        <v>60</v>
      </c>
      <c r="AC47" s="57"/>
      <c r="AD47" s="57"/>
      <c r="AE47" s="57"/>
      <c r="AF47" s="57"/>
      <c r="AG47" s="57"/>
      <c r="AH47" s="56"/>
      <c r="AI47" s="56"/>
      <c r="AJ47" s="54"/>
      <c r="AK47" s="54"/>
      <c r="AL47" s="54"/>
      <c r="AM47" s="54"/>
      <c r="AN47" s="55"/>
      <c r="AO47" s="55"/>
      <c r="AP47" s="55"/>
      <c r="AQ47" s="55"/>
      <c r="AR47" s="55"/>
      <c r="AS47" s="55"/>
      <c r="AT47" s="55"/>
      <c r="AU47" s="55"/>
      <c r="AV47" s="55"/>
      <c r="AW47" s="55"/>
      <c r="AX47" s="55"/>
      <c r="AY47" s="55"/>
      <c r="AZ47" s="55"/>
      <c r="BC47" s="24">
        <v>2</v>
      </c>
      <c r="BD47" s="31"/>
      <c r="BE47" s="31"/>
      <c r="BF47" s="41"/>
      <c r="BG47" s="41"/>
      <c r="BH47" s="6"/>
      <c r="BI47" s="33"/>
      <c r="BJ47" s="33"/>
      <c r="BK47" s="27"/>
      <c r="BL47" s="6"/>
      <c r="BM47" s="42">
        <f>IF(BW47=TRUE,2,0)</f>
        <v>0</v>
      </c>
      <c r="BQ47" s="62"/>
      <c r="BW47" s="2" t="b">
        <v>0</v>
      </c>
    </row>
    <row r="48" spans="28:75" s="2" customFormat="1" x14ac:dyDescent="0.2">
      <c r="AB48" s="53"/>
      <c r="AC48" s="1"/>
      <c r="AH48" s="1"/>
      <c r="AI48" s="1"/>
      <c r="AJ48" s="1"/>
      <c r="AK48" s="1"/>
      <c r="AL48" s="1"/>
      <c r="AM48" s="1"/>
      <c r="BC48" s="32"/>
      <c r="BD48" s="31"/>
      <c r="BE48" s="31"/>
      <c r="BF48" s="27"/>
      <c r="BG48" s="27"/>
      <c r="BH48" s="6"/>
      <c r="BI48" s="27"/>
      <c r="BJ48" s="27"/>
      <c r="BK48" s="27"/>
      <c r="BL48" s="6"/>
      <c r="BM48" s="44"/>
      <c r="BQ48" s="61"/>
    </row>
    <row r="49" spans="28:75" s="2" customFormat="1" x14ac:dyDescent="0.2">
      <c r="AB49" s="56" t="s">
        <v>61</v>
      </c>
      <c r="AC49" s="57"/>
      <c r="AD49" s="57"/>
      <c r="AE49" s="57"/>
      <c r="AF49" s="57"/>
      <c r="AG49" s="57"/>
      <c r="AH49" s="54"/>
      <c r="AI49" s="54"/>
      <c r="AJ49" s="54"/>
      <c r="AK49" s="54"/>
      <c r="AL49" s="54"/>
      <c r="AM49" s="54"/>
      <c r="AN49" s="55"/>
      <c r="AO49" s="55"/>
      <c r="AP49" s="55"/>
      <c r="AQ49" s="55"/>
      <c r="AR49" s="55"/>
      <c r="AS49" s="55"/>
      <c r="AT49" s="55"/>
      <c r="AU49" s="55"/>
      <c r="AV49" s="55"/>
      <c r="AW49" s="55"/>
      <c r="AX49" s="55"/>
      <c r="AY49" s="55"/>
      <c r="AZ49" s="55"/>
      <c r="BQ49" s="63"/>
    </row>
    <row r="50" spans="28:75" s="2" customFormat="1" ht="6" customHeight="1" x14ac:dyDescent="0.2">
      <c r="BQ50" s="63"/>
    </row>
    <row r="51" spans="28:75" s="2" customFormat="1" ht="13.5" thickBot="1" x14ac:dyDescent="0.25">
      <c r="AC51" s="2" t="s">
        <v>32</v>
      </c>
      <c r="AI51" s="1"/>
      <c r="AJ51" s="1"/>
      <c r="AK51" s="1"/>
      <c r="AL51" s="1"/>
      <c r="AM51" s="1"/>
      <c r="AN51" s="1"/>
      <c r="BC51" s="24">
        <v>3</v>
      </c>
      <c r="BD51" s="31"/>
      <c r="BE51" s="31"/>
      <c r="BF51" s="41"/>
      <c r="BG51" s="41"/>
      <c r="BH51" s="6"/>
      <c r="BI51" s="33"/>
      <c r="BJ51" s="33"/>
      <c r="BK51" s="27"/>
      <c r="BL51" s="6"/>
      <c r="BM51" s="42">
        <f>IF(BW51=TRUE,3,0)</f>
        <v>0</v>
      </c>
      <c r="BQ51" s="62"/>
      <c r="BR51" s="32"/>
      <c r="BW51" s="2" t="b">
        <v>0</v>
      </c>
    </row>
    <row r="52" spans="28:75" s="2" customFormat="1" ht="4.5" customHeight="1" x14ac:dyDescent="0.2">
      <c r="BQ52" s="63"/>
    </row>
    <row r="53" spans="28:75" s="2" customFormat="1" ht="13.5" thickBot="1" x14ac:dyDescent="0.25">
      <c r="AC53" s="2" t="s">
        <v>33</v>
      </c>
      <c r="AH53" s="1"/>
      <c r="AI53" s="1"/>
      <c r="BC53" s="24">
        <v>2</v>
      </c>
      <c r="BD53" s="31"/>
      <c r="BE53" s="31"/>
      <c r="BF53" s="41"/>
      <c r="BG53" s="41"/>
      <c r="BH53" s="6"/>
      <c r="BI53" s="33"/>
      <c r="BJ53" s="33"/>
      <c r="BK53" s="27"/>
      <c r="BL53" s="6"/>
      <c r="BM53" s="42">
        <f>IF(BW53=TRUE,2,0)</f>
        <v>0</v>
      </c>
      <c r="BQ53" s="62"/>
      <c r="BR53" s="32"/>
      <c r="BW53" s="2" t="b">
        <v>0</v>
      </c>
    </row>
    <row r="54" spans="28:75" s="2" customFormat="1" ht="4.5" customHeight="1" x14ac:dyDescent="0.2">
      <c r="AK54" s="1"/>
      <c r="AL54" s="1"/>
      <c r="AM54" s="1"/>
      <c r="AN54" s="1"/>
      <c r="AO54" s="1"/>
      <c r="AP54" s="1"/>
      <c r="AQ54" s="1"/>
      <c r="AR54" s="1"/>
      <c r="AS54" s="1"/>
      <c r="AT54" s="1"/>
      <c r="AU54" s="1"/>
      <c r="AV54" s="1"/>
      <c r="AW54" s="1"/>
      <c r="AX54" s="1"/>
      <c r="AY54" s="1"/>
      <c r="AZ54" s="1"/>
      <c r="BA54" s="1"/>
      <c r="BB54" s="1"/>
      <c r="BC54" s="1"/>
      <c r="BD54" s="1"/>
      <c r="BE54" s="1"/>
      <c r="BF54" s="1"/>
      <c r="BQ54" s="63"/>
    </row>
    <row r="55" spans="28:75" s="2" customFormat="1" x14ac:dyDescent="0.2">
      <c r="AD55" s="6" t="s">
        <v>34</v>
      </c>
      <c r="AE55" s="6"/>
      <c r="AF55" s="6"/>
      <c r="AG55" s="6"/>
      <c r="AH55" s="6"/>
      <c r="AI55" s="6"/>
      <c r="AJ55" s="6"/>
      <c r="AK55" s="6"/>
      <c r="AL55" s="573">
        <v>0</v>
      </c>
      <c r="AM55" s="573"/>
      <c r="AN55" s="573"/>
      <c r="AO55" s="573"/>
      <c r="AP55" s="573"/>
      <c r="AQ55" s="573"/>
      <c r="AR55" s="573"/>
      <c r="AS55" s="34"/>
      <c r="AT55" s="34"/>
      <c r="AU55" s="34"/>
      <c r="AV55" s="34"/>
      <c r="AW55" s="34"/>
      <c r="AX55" s="1"/>
      <c r="AY55" s="1"/>
      <c r="AZ55" s="1"/>
      <c r="BA55" s="1"/>
      <c r="BB55" s="1"/>
      <c r="BC55" s="1"/>
      <c r="BD55" s="1"/>
      <c r="BE55" s="1"/>
      <c r="BF55" s="1"/>
      <c r="BQ55" s="63"/>
    </row>
    <row r="56" spans="28:75" s="2" customFormat="1" ht="4.5" customHeight="1" x14ac:dyDescent="0.2">
      <c r="AK56" s="1"/>
      <c r="AL56" s="1"/>
      <c r="AM56" s="1"/>
      <c r="AN56" s="1"/>
      <c r="AO56" s="1"/>
      <c r="AP56" s="1"/>
      <c r="AQ56" s="1"/>
      <c r="AR56" s="1"/>
      <c r="AS56" s="1"/>
      <c r="AT56" s="1"/>
      <c r="AU56" s="1"/>
      <c r="AV56" s="1"/>
      <c r="AW56" s="1"/>
      <c r="AX56" s="1"/>
      <c r="AY56" s="1"/>
      <c r="AZ56" s="1"/>
      <c r="BA56" s="1"/>
      <c r="BB56" s="1"/>
      <c r="BC56" s="1"/>
      <c r="BD56" s="1"/>
      <c r="BE56" s="1"/>
      <c r="BF56" s="1"/>
      <c r="BQ56" s="63"/>
    </row>
    <row r="57" spans="28:75" s="2" customFormat="1" x14ac:dyDescent="0.2">
      <c r="AD57" s="2" t="s">
        <v>35</v>
      </c>
      <c r="AK57" s="1"/>
      <c r="AL57" s="573" t="e">
        <f>#REF!</f>
        <v>#REF!</v>
      </c>
      <c r="AM57" s="573"/>
      <c r="AN57" s="573"/>
      <c r="AO57" s="573"/>
      <c r="AP57" s="573"/>
      <c r="AQ57" s="573"/>
      <c r="AR57" s="573"/>
      <c r="AS57" s="1"/>
      <c r="AT57" s="1"/>
      <c r="AU57" s="1"/>
      <c r="AV57" s="1"/>
      <c r="AW57" s="1"/>
      <c r="AX57" s="1"/>
      <c r="AY57" s="1"/>
      <c r="AZ57" s="1"/>
      <c r="BA57" s="1"/>
      <c r="BB57" s="1"/>
      <c r="BC57" s="1"/>
      <c r="BD57" s="1"/>
      <c r="BE57" s="1"/>
      <c r="BF57" s="1"/>
      <c r="BQ57" s="63"/>
    </row>
    <row r="58" spans="28:75" s="2" customFormat="1" ht="4.5" customHeight="1" x14ac:dyDescent="0.2">
      <c r="AK58" s="1"/>
      <c r="AL58" s="1"/>
      <c r="AM58" s="1"/>
      <c r="AN58" s="1"/>
      <c r="AO58" s="1"/>
      <c r="AP58" s="1"/>
      <c r="AQ58" s="1"/>
      <c r="AR58" s="1"/>
      <c r="AS58" s="1"/>
      <c r="AT58" s="1"/>
      <c r="AU58" s="1"/>
      <c r="AV58" s="1"/>
      <c r="AW58" s="1"/>
      <c r="AX58" s="1"/>
      <c r="AY58" s="1"/>
      <c r="AZ58" s="1"/>
      <c r="BA58" s="1"/>
      <c r="BB58" s="1"/>
      <c r="BC58" s="1"/>
      <c r="BD58" s="1"/>
      <c r="BE58" s="1"/>
      <c r="BF58" s="1"/>
      <c r="BQ58" s="63"/>
    </row>
    <row r="59" spans="28:75" s="2" customFormat="1" x14ac:dyDescent="0.2">
      <c r="AD59" s="2" t="s">
        <v>36</v>
      </c>
      <c r="AK59" s="1"/>
      <c r="AL59" s="572" t="e">
        <f>AL55/AL57</f>
        <v>#REF!</v>
      </c>
      <c r="AM59" s="572"/>
      <c r="AN59" s="1"/>
      <c r="AO59" s="1"/>
      <c r="AP59" s="1"/>
      <c r="AQ59" s="1"/>
      <c r="AR59" s="1"/>
      <c r="AS59" s="1"/>
      <c r="AT59" s="1"/>
      <c r="AU59" s="1"/>
      <c r="AV59" s="1"/>
      <c r="AW59" s="1"/>
      <c r="AX59" s="1"/>
      <c r="AY59" s="1"/>
      <c r="AZ59" s="1"/>
      <c r="BA59" s="1"/>
      <c r="BB59" s="1"/>
      <c r="BC59" s="1"/>
      <c r="BD59" s="1"/>
      <c r="BE59" s="1"/>
      <c r="BF59" s="1"/>
      <c r="BQ59" s="63"/>
    </row>
    <row r="60" spans="28:75" s="2" customFormat="1" ht="4.5" customHeight="1" x14ac:dyDescent="0.2">
      <c r="AK60" s="1"/>
      <c r="AL60" s="1"/>
      <c r="AM60" s="1"/>
      <c r="AN60" s="1"/>
      <c r="AO60" s="1"/>
      <c r="AP60" s="1"/>
      <c r="AQ60" s="1"/>
      <c r="AR60" s="1"/>
      <c r="AS60" s="1"/>
      <c r="AT60" s="1"/>
      <c r="AU60" s="1"/>
      <c r="AV60" s="1"/>
      <c r="AW60" s="1"/>
      <c r="AX60" s="1"/>
      <c r="AY60" s="1"/>
      <c r="AZ60" s="1"/>
      <c r="BA60" s="1"/>
      <c r="BB60" s="1"/>
      <c r="BC60" s="1"/>
      <c r="BD60" s="1"/>
      <c r="BE60" s="1"/>
      <c r="BF60" s="1"/>
      <c r="BQ60" s="63"/>
    </row>
    <row r="61" spans="28:75" s="2" customFormat="1" ht="13.5" thickBot="1" x14ac:dyDescent="0.25">
      <c r="AC61" s="2" t="s">
        <v>37</v>
      </c>
      <c r="AK61" s="1"/>
      <c r="AL61" s="1"/>
      <c r="AM61" s="1"/>
      <c r="AN61" s="1"/>
      <c r="AO61" s="1"/>
      <c r="AP61" s="1"/>
      <c r="AQ61" s="1"/>
      <c r="AR61" s="1"/>
      <c r="AS61" s="1"/>
      <c r="AT61" s="1"/>
      <c r="AU61" s="1"/>
      <c r="AV61" s="1"/>
      <c r="AW61" s="1"/>
      <c r="AX61" s="1"/>
      <c r="AY61" s="1"/>
      <c r="AZ61" s="1"/>
      <c r="BA61" s="1"/>
      <c r="BB61" s="1"/>
      <c r="BC61" s="24">
        <v>1</v>
      </c>
      <c r="BD61" s="31"/>
      <c r="BE61" s="31"/>
      <c r="BF61" s="41"/>
      <c r="BG61" s="41"/>
      <c r="BH61" s="6"/>
      <c r="BI61" s="33"/>
      <c r="BJ61" s="33"/>
      <c r="BK61" s="27"/>
      <c r="BL61" s="6"/>
      <c r="BM61" s="42">
        <f>IF(BW61=TRUE,1,0)</f>
        <v>0</v>
      </c>
      <c r="BQ61" s="62"/>
      <c r="BW61" s="2" t="b">
        <v>0</v>
      </c>
    </row>
    <row r="62" spans="28:75" s="2" customFormat="1" ht="4.5" customHeight="1" x14ac:dyDescent="0.2">
      <c r="AK62" s="1"/>
      <c r="AL62" s="1"/>
      <c r="AM62" s="1"/>
      <c r="AN62" s="1"/>
      <c r="AO62" s="1"/>
      <c r="AP62" s="1"/>
      <c r="AQ62" s="1"/>
      <c r="AR62" s="1"/>
      <c r="AS62" s="1"/>
      <c r="AT62" s="1"/>
      <c r="AU62" s="1"/>
      <c r="AV62" s="1"/>
      <c r="AW62" s="1"/>
      <c r="AX62" s="1"/>
      <c r="AY62" s="1"/>
      <c r="AZ62" s="1"/>
      <c r="BA62" s="1"/>
      <c r="BB62" s="1"/>
      <c r="BC62" s="1"/>
      <c r="BD62" s="1"/>
      <c r="BE62" s="1"/>
      <c r="BF62" s="1"/>
      <c r="BQ62" s="63"/>
    </row>
    <row r="63" spans="28:75" s="2" customFormat="1" ht="13.5" thickBot="1" x14ac:dyDescent="0.25">
      <c r="AC63" s="2" t="s">
        <v>38</v>
      </c>
      <c r="AK63" s="1"/>
      <c r="AL63" s="1"/>
      <c r="AM63" s="1"/>
      <c r="AN63" s="1"/>
      <c r="AO63" s="1"/>
      <c r="AP63" s="1"/>
      <c r="AQ63" s="1"/>
      <c r="AR63" s="1"/>
      <c r="AS63" s="1"/>
      <c r="AT63" s="1"/>
      <c r="AU63" s="1"/>
      <c r="AV63" s="1"/>
      <c r="AW63" s="1"/>
      <c r="AX63" s="1"/>
      <c r="AY63" s="1"/>
      <c r="AZ63" s="1"/>
      <c r="BA63" s="1"/>
      <c r="BB63" s="1"/>
      <c r="BC63" s="24">
        <v>1</v>
      </c>
      <c r="BD63" s="31"/>
      <c r="BE63" s="31"/>
      <c r="BF63" s="41"/>
      <c r="BG63" s="41"/>
      <c r="BH63" s="6"/>
      <c r="BI63" s="33"/>
      <c r="BJ63" s="33"/>
      <c r="BK63" s="27"/>
      <c r="BL63" s="6"/>
      <c r="BM63" s="42">
        <f>IF(BW63=TRUE,1,0)</f>
        <v>0</v>
      </c>
      <c r="BQ63" s="62"/>
      <c r="BW63" s="2" t="b">
        <v>0</v>
      </c>
    </row>
    <row r="64" spans="28:75" s="2" customFormat="1" ht="4.5" customHeight="1" x14ac:dyDescent="0.2">
      <c r="AK64" s="1"/>
      <c r="AL64" s="1"/>
      <c r="AM64" s="1"/>
      <c r="AN64" s="1"/>
      <c r="AO64" s="1"/>
      <c r="AP64" s="1"/>
      <c r="AQ64" s="1"/>
      <c r="AR64" s="1"/>
      <c r="AS64" s="1"/>
      <c r="AT64" s="1"/>
      <c r="AU64" s="1"/>
      <c r="AV64" s="1"/>
      <c r="AW64" s="1"/>
      <c r="AX64" s="1"/>
      <c r="AY64" s="1"/>
      <c r="AZ64" s="1"/>
      <c r="BA64" s="1"/>
      <c r="BB64" s="1"/>
      <c r="BC64" s="1"/>
      <c r="BD64" s="1"/>
      <c r="BE64" s="1"/>
      <c r="BF64" s="1"/>
      <c r="BQ64" s="63"/>
    </row>
    <row r="65" spans="28:75" s="2" customFormat="1" x14ac:dyDescent="0.2">
      <c r="AD65" s="2" t="s">
        <v>41</v>
      </c>
      <c r="AG65" s="400" t="e">
        <f>#REF!</f>
        <v>#REF!</v>
      </c>
      <c r="AH65" s="400"/>
      <c r="AI65" s="400"/>
      <c r="AJ65" s="400"/>
      <c r="AK65" s="400"/>
      <c r="AL65" s="400"/>
      <c r="AM65" s="400"/>
      <c r="AN65" s="400"/>
      <c r="AO65" s="400"/>
      <c r="AP65" s="400"/>
      <c r="AQ65" s="1"/>
      <c r="AR65" s="1"/>
      <c r="AS65" s="1"/>
      <c r="AT65" s="1"/>
      <c r="AU65" s="1"/>
      <c r="AV65" s="1"/>
      <c r="AW65" s="1"/>
      <c r="AX65" s="1"/>
      <c r="AY65" s="1"/>
      <c r="AZ65" s="1"/>
      <c r="BA65" s="1"/>
      <c r="BB65" s="1"/>
      <c r="BC65" s="1"/>
      <c r="BD65" s="1"/>
      <c r="BE65" s="1"/>
      <c r="BF65" s="1"/>
      <c r="BQ65" s="63"/>
    </row>
    <row r="66" spans="28:75" s="2" customFormat="1" ht="4.5" customHeight="1" x14ac:dyDescent="0.2">
      <c r="AK66" s="1"/>
      <c r="AL66" s="1"/>
      <c r="AM66" s="1"/>
      <c r="AN66" s="1"/>
      <c r="AO66" s="1"/>
      <c r="AP66" s="1"/>
      <c r="AQ66" s="1"/>
      <c r="AR66" s="1"/>
      <c r="AS66" s="1"/>
      <c r="AT66" s="1"/>
      <c r="AU66" s="1"/>
      <c r="AV66" s="1"/>
      <c r="AW66" s="1"/>
      <c r="AX66" s="1"/>
      <c r="AY66" s="1"/>
      <c r="AZ66" s="1"/>
      <c r="BA66" s="1"/>
      <c r="BB66" s="1"/>
      <c r="BC66" s="1"/>
      <c r="BD66" s="1"/>
      <c r="BE66" s="1"/>
      <c r="BF66" s="1"/>
      <c r="BQ66" s="63"/>
    </row>
    <row r="67" spans="28:75" s="2" customFormat="1" x14ac:dyDescent="0.2">
      <c r="AD67" s="2" t="s">
        <v>39</v>
      </c>
      <c r="AG67" s="400" t="e">
        <f>#REF!</f>
        <v>#REF!</v>
      </c>
      <c r="AH67" s="400"/>
      <c r="AI67" s="400"/>
      <c r="AJ67" s="400"/>
      <c r="AK67" s="400"/>
      <c r="AL67" s="400"/>
      <c r="AM67" s="400"/>
      <c r="AN67" s="400"/>
      <c r="AO67" s="400"/>
      <c r="AP67" s="400"/>
      <c r="AQ67" s="1"/>
      <c r="AR67" s="1"/>
      <c r="AS67" s="1"/>
      <c r="AT67" s="1"/>
      <c r="AU67" s="1"/>
      <c r="AV67" s="1"/>
      <c r="AW67" s="1"/>
      <c r="AX67" s="1"/>
      <c r="AY67" s="1"/>
      <c r="AZ67" s="1"/>
      <c r="BA67" s="1"/>
      <c r="BB67" s="1"/>
      <c r="BC67" s="1"/>
      <c r="BD67" s="1"/>
      <c r="BE67" s="1"/>
      <c r="BF67" s="1"/>
      <c r="BQ67" s="63"/>
    </row>
    <row r="68" spans="28:75" s="2" customFormat="1" ht="4.5" customHeight="1" x14ac:dyDescent="0.2">
      <c r="AK68" s="1"/>
      <c r="AL68" s="1"/>
      <c r="AM68" s="1"/>
      <c r="AN68" s="1"/>
      <c r="AO68" s="1"/>
      <c r="AP68" s="1"/>
      <c r="AQ68" s="1"/>
      <c r="AR68" s="1"/>
      <c r="AS68" s="1"/>
      <c r="AT68" s="1"/>
      <c r="AU68" s="1"/>
      <c r="AV68" s="1"/>
      <c r="AW68" s="1"/>
      <c r="AX68" s="1"/>
      <c r="AY68" s="1"/>
      <c r="AZ68" s="1"/>
      <c r="BA68" s="1"/>
      <c r="BB68" s="1"/>
      <c r="BC68" s="1"/>
      <c r="BD68" s="1"/>
      <c r="BE68" s="1"/>
      <c r="BF68" s="1"/>
      <c r="BQ68" s="63"/>
    </row>
    <row r="69" spans="28:75" s="2" customFormat="1" x14ac:dyDescent="0.2">
      <c r="AD69" s="2" t="s">
        <v>40</v>
      </c>
      <c r="AG69" s="400" t="e">
        <f>#REF!</f>
        <v>#REF!</v>
      </c>
      <c r="AH69" s="400"/>
      <c r="AI69" s="400"/>
      <c r="AJ69" s="400"/>
      <c r="AK69" s="400"/>
      <c r="AL69" s="400"/>
      <c r="AM69" s="400"/>
      <c r="AN69" s="400"/>
      <c r="AO69" s="400"/>
      <c r="AP69" s="400"/>
      <c r="AQ69" s="1"/>
      <c r="AR69" s="1"/>
      <c r="AS69" s="1"/>
      <c r="AT69" s="1"/>
      <c r="AU69" s="1"/>
      <c r="AV69" s="1"/>
      <c r="AW69" s="1"/>
      <c r="AX69" s="1"/>
      <c r="AY69" s="1"/>
      <c r="AZ69" s="1"/>
      <c r="BA69" s="1"/>
      <c r="BB69" s="1"/>
      <c r="BC69" s="1"/>
      <c r="BD69" s="1"/>
      <c r="BE69" s="1"/>
      <c r="BF69" s="1"/>
      <c r="BQ69" s="63"/>
    </row>
    <row r="70" spans="28:75" s="2" customFormat="1" ht="4.5" customHeight="1" x14ac:dyDescent="0.2">
      <c r="AK70" s="1"/>
      <c r="AL70" s="1"/>
      <c r="AM70" s="1"/>
      <c r="AN70" s="1"/>
      <c r="AO70" s="1"/>
      <c r="AP70" s="1"/>
      <c r="AQ70" s="1"/>
      <c r="AR70" s="1"/>
      <c r="AS70" s="1"/>
      <c r="AT70" s="1"/>
      <c r="AU70" s="1"/>
      <c r="AV70" s="1"/>
      <c r="AW70" s="1"/>
      <c r="AX70" s="1"/>
      <c r="AY70" s="1"/>
      <c r="AZ70" s="1"/>
      <c r="BA70" s="1"/>
      <c r="BB70" s="1"/>
      <c r="BC70" s="1"/>
      <c r="BD70" s="1"/>
      <c r="BE70" s="1"/>
      <c r="BF70" s="1"/>
      <c r="BQ70" s="63"/>
    </row>
    <row r="71" spans="28:75" s="2" customFormat="1" ht="13.5" thickBot="1" x14ac:dyDescent="0.25">
      <c r="AC71" s="2" t="s">
        <v>42</v>
      </c>
      <c r="AK71" s="1"/>
      <c r="AL71" s="1"/>
      <c r="AM71" s="1"/>
      <c r="AN71" s="1"/>
      <c r="AO71" s="1"/>
      <c r="AP71" s="1"/>
      <c r="AQ71" s="1"/>
      <c r="AR71" s="1"/>
      <c r="AS71" s="1"/>
      <c r="AT71" s="1"/>
      <c r="AU71" s="1"/>
      <c r="AV71" s="1"/>
      <c r="AW71" s="1"/>
      <c r="AX71" s="1"/>
      <c r="AY71" s="1"/>
      <c r="AZ71" s="1"/>
      <c r="BA71" s="1"/>
      <c r="BB71" s="1"/>
      <c r="BC71" s="24">
        <v>1</v>
      </c>
      <c r="BD71" s="31"/>
      <c r="BE71" s="31"/>
      <c r="BF71" s="41"/>
      <c r="BG71" s="41"/>
      <c r="BH71" s="6"/>
      <c r="BI71" s="33"/>
      <c r="BJ71" s="33"/>
      <c r="BK71" s="27"/>
      <c r="BL71" s="6"/>
      <c r="BM71" s="42">
        <f>IF(BW71=TRUE,1,0)</f>
        <v>0</v>
      </c>
      <c r="BQ71" s="62"/>
      <c r="BW71" s="2" t="b">
        <v>0</v>
      </c>
    </row>
    <row r="72" spans="28:75" s="2" customFormat="1" x14ac:dyDescent="0.2">
      <c r="AC72" s="2" t="s">
        <v>43</v>
      </c>
      <c r="AK72" s="1"/>
      <c r="AL72" s="1"/>
      <c r="AM72" s="1"/>
      <c r="AN72" s="1"/>
      <c r="AO72" s="1"/>
      <c r="AP72" s="1"/>
      <c r="AQ72" s="1"/>
      <c r="AR72" s="1"/>
      <c r="AS72" s="1"/>
      <c r="AT72" s="1"/>
      <c r="AU72" s="1"/>
      <c r="AV72" s="1"/>
      <c r="AW72" s="1"/>
      <c r="AX72" s="1"/>
      <c r="AY72" s="1"/>
      <c r="AZ72" s="1"/>
      <c r="BA72" s="1"/>
      <c r="BB72" s="1"/>
      <c r="BC72" s="1"/>
      <c r="BD72" s="1"/>
      <c r="BE72" s="1"/>
      <c r="BF72" s="1"/>
      <c r="BQ72" s="63"/>
    </row>
    <row r="73" spans="28:75" s="2" customFormat="1" x14ac:dyDescent="0.2">
      <c r="AK73" s="1"/>
      <c r="AL73" s="1"/>
      <c r="AM73" s="1"/>
      <c r="AN73" s="1"/>
      <c r="AO73" s="1"/>
      <c r="AP73" s="1"/>
      <c r="AQ73" s="1"/>
      <c r="AR73" s="1"/>
      <c r="AS73" s="1"/>
      <c r="AT73" s="1"/>
      <c r="AU73" s="1"/>
      <c r="AV73" s="1"/>
      <c r="AW73" s="1"/>
      <c r="AX73" s="1"/>
      <c r="AY73" s="1"/>
      <c r="AZ73" s="1"/>
      <c r="BA73" s="1"/>
      <c r="BB73" s="1"/>
      <c r="BC73" s="1"/>
      <c r="BD73" s="1"/>
      <c r="BE73" s="1"/>
      <c r="BF73" s="1"/>
      <c r="BQ73" s="63"/>
    </row>
    <row r="74" spans="28:75" s="2" customFormat="1" x14ac:dyDescent="0.2">
      <c r="AB74" s="56" t="s">
        <v>44</v>
      </c>
      <c r="AC74" s="57"/>
      <c r="AD74" s="57"/>
      <c r="AE74" s="57"/>
      <c r="AF74" s="57"/>
      <c r="AG74" s="57"/>
      <c r="AH74" s="57"/>
      <c r="AI74" s="57"/>
      <c r="AJ74" s="57"/>
      <c r="AK74" s="56"/>
      <c r="AL74" s="56"/>
      <c r="AM74" s="56"/>
      <c r="AN74" s="56"/>
      <c r="AO74" s="56"/>
      <c r="AP74" s="56"/>
      <c r="AQ74" s="56"/>
      <c r="AR74" s="56"/>
      <c r="AS74" s="56"/>
      <c r="AT74" s="56"/>
      <c r="AU74" s="56"/>
      <c r="AV74" s="56"/>
      <c r="AW74" s="54"/>
      <c r="AX74" s="54"/>
      <c r="AY74" s="54"/>
      <c r="AZ74" s="54"/>
      <c r="BA74" s="1"/>
      <c r="BB74" s="1"/>
      <c r="BC74" s="1"/>
      <c r="BD74" s="1"/>
      <c r="BE74" s="1"/>
      <c r="BF74" s="1"/>
      <c r="BQ74" s="63"/>
    </row>
    <row r="75" spans="28:75" s="2" customFormat="1" ht="4.5" customHeight="1" x14ac:dyDescent="0.2">
      <c r="AK75" s="1"/>
      <c r="AL75" s="1"/>
      <c r="AM75" s="1"/>
      <c r="AN75" s="1"/>
      <c r="AO75" s="1"/>
      <c r="AP75" s="1"/>
      <c r="AQ75" s="1"/>
      <c r="AR75" s="1"/>
      <c r="AS75" s="1"/>
      <c r="AT75" s="1"/>
      <c r="AU75" s="1"/>
      <c r="AV75" s="1"/>
      <c r="AW75" s="1"/>
      <c r="AX75" s="1"/>
      <c r="AY75" s="1"/>
      <c r="AZ75" s="1"/>
      <c r="BA75" s="1"/>
      <c r="BB75" s="1"/>
      <c r="BC75" s="1"/>
      <c r="BD75" s="1"/>
      <c r="BE75" s="1"/>
      <c r="BF75" s="1"/>
      <c r="BQ75" s="63"/>
    </row>
    <row r="76" spans="28:75" s="2" customFormat="1" ht="13.5" thickBot="1" x14ac:dyDescent="0.25">
      <c r="AC76" s="2" t="s">
        <v>45</v>
      </c>
      <c r="AK76" s="1"/>
      <c r="AL76" s="1"/>
      <c r="AM76" s="1"/>
      <c r="AN76" s="1"/>
      <c r="AO76" s="1"/>
      <c r="AP76" s="1"/>
      <c r="AQ76" s="1"/>
      <c r="AR76" s="1"/>
      <c r="AS76" s="1"/>
      <c r="AT76" s="1"/>
      <c r="AU76" s="1"/>
      <c r="AV76" s="1"/>
      <c r="AW76" s="1"/>
      <c r="AX76" s="1"/>
      <c r="AY76" s="1"/>
      <c r="AZ76" s="1"/>
      <c r="BA76" s="1"/>
      <c r="BB76" s="1"/>
      <c r="BC76" s="24">
        <v>1</v>
      </c>
      <c r="BD76" s="31"/>
      <c r="BE76" s="31"/>
      <c r="BF76" s="41"/>
      <c r="BG76" s="41"/>
      <c r="BH76" s="6"/>
      <c r="BI76" s="33"/>
      <c r="BJ76" s="33"/>
      <c r="BK76" s="27"/>
      <c r="BL76" s="6"/>
      <c r="BM76" s="42">
        <f>IF(BW76=TRUE,1,0)</f>
        <v>0</v>
      </c>
      <c r="BQ76" s="62"/>
      <c r="BW76" s="2" t="b">
        <v>0</v>
      </c>
    </row>
    <row r="77" spans="28:75" s="2" customFormat="1" ht="4.5" customHeight="1" x14ac:dyDescent="0.2">
      <c r="AK77" s="1"/>
      <c r="AL77" s="1"/>
      <c r="AM77" s="1"/>
      <c r="AN77" s="1"/>
      <c r="AO77" s="1"/>
      <c r="AP77" s="1"/>
      <c r="AQ77" s="1"/>
      <c r="AR77" s="1"/>
      <c r="AS77" s="1"/>
      <c r="AT77" s="1"/>
      <c r="AU77" s="1"/>
      <c r="AV77" s="1"/>
      <c r="AW77" s="1"/>
      <c r="AX77" s="1"/>
      <c r="AY77" s="1"/>
      <c r="AZ77" s="1"/>
      <c r="BA77" s="1"/>
      <c r="BB77" s="1"/>
      <c r="BC77" s="1"/>
      <c r="BD77" s="1"/>
      <c r="BE77" s="1"/>
      <c r="BF77" s="1"/>
      <c r="BQ77" s="63"/>
    </row>
    <row r="78" spans="28:75" s="2" customFormat="1" x14ac:dyDescent="0.2">
      <c r="AD78" s="2" t="s">
        <v>46</v>
      </c>
      <c r="AK78" s="1"/>
      <c r="AL78" s="1"/>
      <c r="AM78" s="1"/>
      <c r="AN78" s="1"/>
      <c r="AO78" s="573" t="e">
        <f>#REF!+#REF!</f>
        <v>#REF!</v>
      </c>
      <c r="AP78" s="573"/>
      <c r="AQ78" s="573"/>
      <c r="AR78" s="573"/>
      <c r="AS78" s="573"/>
      <c r="AT78" s="573"/>
      <c r="AU78" s="573"/>
      <c r="AV78" s="1"/>
      <c r="AW78" s="1"/>
      <c r="AX78" s="1"/>
      <c r="AY78" s="1"/>
      <c r="AZ78" s="1"/>
      <c r="BA78" s="1"/>
      <c r="BB78" s="1"/>
      <c r="BC78" s="1"/>
      <c r="BD78" s="1"/>
      <c r="BE78" s="1"/>
      <c r="BF78" s="1"/>
      <c r="BQ78" s="63"/>
    </row>
    <row r="79" spans="28:75" s="2" customFormat="1" ht="4.5" customHeight="1" x14ac:dyDescent="0.2">
      <c r="AK79" s="1"/>
      <c r="AL79" s="1"/>
      <c r="AM79" s="1"/>
      <c r="AN79" s="1"/>
      <c r="AO79" s="1"/>
      <c r="AP79" s="1"/>
      <c r="AQ79" s="1"/>
      <c r="AR79" s="1"/>
      <c r="AS79" s="1"/>
      <c r="AT79" s="1"/>
      <c r="AU79" s="1"/>
      <c r="AV79" s="1"/>
      <c r="AW79" s="1"/>
      <c r="AX79" s="1"/>
      <c r="AY79" s="1"/>
      <c r="AZ79" s="1"/>
      <c r="BA79" s="1"/>
      <c r="BB79" s="1"/>
      <c r="BC79" s="1"/>
      <c r="BD79" s="1"/>
      <c r="BE79" s="1"/>
      <c r="BF79" s="1"/>
      <c r="BQ79" s="63"/>
    </row>
    <row r="80" spans="28:75" s="2" customFormat="1" x14ac:dyDescent="0.2">
      <c r="AD80" s="2" t="s">
        <v>35</v>
      </c>
      <c r="AK80" s="1"/>
      <c r="AL80" s="34"/>
      <c r="AM80" s="34"/>
      <c r="AN80" s="34"/>
      <c r="AO80" s="573" t="e">
        <f>#REF!</f>
        <v>#REF!</v>
      </c>
      <c r="AP80" s="573"/>
      <c r="AQ80" s="573"/>
      <c r="AR80" s="573"/>
      <c r="AS80" s="573"/>
      <c r="AT80" s="573"/>
      <c r="AU80" s="573"/>
      <c r="AV80" s="1"/>
      <c r="AW80" s="1"/>
      <c r="AX80" s="1"/>
      <c r="AY80" s="1"/>
      <c r="AZ80" s="1"/>
      <c r="BA80" s="1"/>
      <c r="BB80" s="1"/>
      <c r="BC80" s="1"/>
      <c r="BD80" s="1"/>
      <c r="BE80" s="1"/>
      <c r="BF80" s="1"/>
      <c r="BQ80" s="63"/>
    </row>
    <row r="81" spans="28:75" s="2" customFormat="1" ht="4.5" customHeight="1" x14ac:dyDescent="0.2">
      <c r="AK81" s="1"/>
      <c r="AL81" s="1"/>
      <c r="AM81" s="1"/>
      <c r="AN81" s="1"/>
      <c r="AO81" s="1"/>
      <c r="AP81" s="1"/>
      <c r="AQ81" s="1"/>
      <c r="AR81" s="1"/>
      <c r="AS81" s="1"/>
      <c r="AT81" s="1"/>
      <c r="AU81" s="1"/>
      <c r="AV81" s="1"/>
      <c r="AW81" s="1"/>
      <c r="AX81" s="1"/>
      <c r="AY81" s="1"/>
      <c r="AZ81" s="1"/>
      <c r="BA81" s="1"/>
      <c r="BB81" s="1"/>
      <c r="BC81" s="1"/>
      <c r="BD81" s="1"/>
      <c r="BE81" s="1"/>
      <c r="BF81" s="1"/>
      <c r="BQ81" s="63"/>
    </row>
    <row r="82" spans="28:75" s="2" customFormat="1" x14ac:dyDescent="0.2">
      <c r="AD82" s="2" t="s">
        <v>36</v>
      </c>
      <c r="AK82" s="1"/>
      <c r="AL82" s="1"/>
      <c r="AM82" s="1"/>
      <c r="AN82" s="1"/>
      <c r="AO82" s="572" t="e">
        <f>AO78/AO80</f>
        <v>#REF!</v>
      </c>
      <c r="AP82" s="572"/>
      <c r="AQ82" s="1"/>
      <c r="AR82" s="1"/>
      <c r="AS82" s="1"/>
      <c r="AT82" s="1"/>
      <c r="AU82" s="1"/>
      <c r="AV82" s="1"/>
      <c r="AW82" s="1"/>
      <c r="AX82" s="1"/>
      <c r="AY82" s="1"/>
      <c r="AZ82" s="1"/>
      <c r="BA82" s="1"/>
      <c r="BB82" s="1"/>
      <c r="BC82" s="1"/>
      <c r="BD82" s="1"/>
      <c r="BE82" s="1"/>
      <c r="BF82" s="1"/>
      <c r="BQ82" s="63"/>
    </row>
    <row r="83" spans="28:75" s="2" customFormat="1" ht="4.5" customHeight="1" x14ac:dyDescent="0.2">
      <c r="AK83" s="1"/>
      <c r="AL83" s="1"/>
      <c r="AM83" s="1"/>
      <c r="AN83" s="1"/>
      <c r="AO83" s="1"/>
      <c r="AP83" s="1"/>
      <c r="AQ83" s="1"/>
      <c r="AR83" s="1"/>
      <c r="AS83" s="1"/>
      <c r="AT83" s="1"/>
      <c r="AU83" s="1"/>
      <c r="AV83" s="1"/>
      <c r="AW83" s="1"/>
      <c r="AX83" s="1"/>
      <c r="AY83" s="1"/>
      <c r="AZ83" s="1"/>
      <c r="BA83" s="1"/>
      <c r="BB83" s="1"/>
      <c r="BC83" s="1"/>
      <c r="BD83" s="1"/>
      <c r="BE83" s="1"/>
      <c r="BF83" s="1"/>
      <c r="BQ83" s="63"/>
    </row>
    <row r="84" spans="28:75" s="2" customFormat="1" x14ac:dyDescent="0.2">
      <c r="AC84" s="2" t="s">
        <v>47</v>
      </c>
      <c r="AK84" s="1"/>
      <c r="AL84" s="1"/>
      <c r="AM84" s="1"/>
      <c r="AN84" s="1"/>
      <c r="AO84" s="1"/>
      <c r="AP84" s="1"/>
      <c r="AQ84" s="1"/>
      <c r="AR84" s="1"/>
      <c r="AS84" s="1"/>
      <c r="AT84" s="1"/>
      <c r="AU84" s="1"/>
      <c r="AV84" s="1"/>
      <c r="AW84" s="1"/>
      <c r="AX84" s="1"/>
      <c r="AY84" s="1"/>
      <c r="AZ84" s="1"/>
      <c r="BA84" s="1"/>
      <c r="BB84" s="1"/>
      <c r="BC84" s="1"/>
      <c r="BD84" s="1"/>
      <c r="BE84" s="1"/>
      <c r="BF84" s="1"/>
      <c r="BQ84" s="63"/>
    </row>
    <row r="85" spans="28:75" s="2" customFormat="1" ht="4.5" customHeight="1" x14ac:dyDescent="0.2">
      <c r="AK85" s="1"/>
      <c r="AL85" s="1"/>
      <c r="AM85" s="1"/>
      <c r="AN85" s="1"/>
      <c r="AO85" s="1"/>
      <c r="AP85" s="1"/>
      <c r="AQ85" s="1"/>
      <c r="AR85" s="1"/>
      <c r="AS85" s="1"/>
      <c r="AT85" s="1"/>
      <c r="AU85" s="1"/>
      <c r="AV85" s="1"/>
      <c r="AW85" s="1"/>
      <c r="AX85" s="1"/>
      <c r="AY85" s="1"/>
      <c r="AZ85" s="1"/>
      <c r="BA85" s="1"/>
      <c r="BD85" s="1"/>
      <c r="BE85" s="1"/>
      <c r="BF85" s="1"/>
      <c r="BQ85" s="63"/>
    </row>
    <row r="86" spans="28:75" s="2" customFormat="1" x14ac:dyDescent="0.2">
      <c r="AD86" s="2" t="s">
        <v>48</v>
      </c>
      <c r="AO86" s="572">
        <f>BM31</f>
        <v>0</v>
      </c>
      <c r="AP86" s="572"/>
      <c r="BQ86" s="63"/>
    </row>
    <row r="87" spans="28:75" ht="6" customHeight="1" x14ac:dyDescent="0.2">
      <c r="BQ87" s="63"/>
    </row>
    <row r="88" spans="28:75" ht="13.5" thickBot="1" x14ac:dyDescent="0.25">
      <c r="AD88" s="52"/>
      <c r="BC88" s="24">
        <v>3</v>
      </c>
      <c r="BD88" s="31"/>
      <c r="BE88" s="31"/>
      <c r="BF88" s="41"/>
      <c r="BG88" s="41"/>
      <c r="BH88" s="6"/>
      <c r="BI88" s="33"/>
      <c r="BJ88" s="33"/>
      <c r="BK88" s="27"/>
      <c r="BL88" s="6"/>
      <c r="BM88" s="42">
        <f>IF(BW88=TRUE,3,0)</f>
        <v>0</v>
      </c>
      <c r="BQ88" s="62"/>
      <c r="BW88" t="b">
        <v>0</v>
      </c>
    </row>
    <row r="89" spans="28:75" ht="6" customHeight="1" x14ac:dyDescent="0.2">
      <c r="BQ89" s="63"/>
    </row>
    <row r="90" spans="28:75" ht="13.5" thickBot="1" x14ac:dyDescent="0.25">
      <c r="AD90" s="52"/>
      <c r="BC90" s="24">
        <v>4</v>
      </c>
      <c r="BD90" s="31"/>
      <c r="BE90" s="31"/>
      <c r="BF90" s="41"/>
      <c r="BG90" s="41"/>
      <c r="BH90" s="6"/>
      <c r="BI90" s="33"/>
      <c r="BJ90" s="33"/>
      <c r="BK90" s="27"/>
      <c r="BL90" s="6"/>
      <c r="BM90" s="42">
        <f>IF(BW90=TRUE,4,0)</f>
        <v>0</v>
      </c>
      <c r="BQ90" s="62"/>
      <c r="BW90" t="b">
        <v>0</v>
      </c>
    </row>
    <row r="91" spans="28:75" x14ac:dyDescent="0.2">
      <c r="BQ91" s="63"/>
    </row>
    <row r="92" spans="28:75" x14ac:dyDescent="0.2">
      <c r="AB92" s="56" t="s">
        <v>62</v>
      </c>
      <c r="AC92" s="58"/>
      <c r="AD92" s="58"/>
      <c r="AE92" s="58"/>
      <c r="AF92" s="58"/>
      <c r="AG92" s="58"/>
      <c r="AH92" s="58"/>
      <c r="AI92" s="58"/>
      <c r="AJ92" s="58"/>
      <c r="AK92" s="58"/>
      <c r="AL92" s="58"/>
      <c r="AM92" s="58"/>
      <c r="AN92" s="59"/>
      <c r="AO92" s="59"/>
      <c r="AP92" s="59"/>
      <c r="AQ92" s="59"/>
      <c r="AR92" s="59"/>
      <c r="AS92" s="59"/>
      <c r="AT92" s="59"/>
      <c r="AU92" s="59"/>
      <c r="AV92" s="59"/>
      <c r="AW92" s="59"/>
      <c r="AX92" s="59"/>
      <c r="AY92" s="59"/>
      <c r="AZ92" s="59"/>
      <c r="BQ92" s="63"/>
    </row>
    <row r="93" spans="28:75" s="2" customFormat="1" ht="4.5" customHeight="1" x14ac:dyDescent="0.2">
      <c r="AK93" s="1"/>
      <c r="AL93" s="1"/>
      <c r="AM93" s="1"/>
      <c r="AN93" s="1"/>
      <c r="AO93" s="1"/>
      <c r="AP93" s="1"/>
      <c r="AQ93" s="1"/>
      <c r="AR93" s="1"/>
      <c r="AS93" s="1"/>
      <c r="AT93" s="1"/>
      <c r="AU93" s="1"/>
      <c r="AV93" s="1"/>
      <c r="AW93" s="1"/>
      <c r="AX93" s="1"/>
      <c r="AY93" s="1"/>
      <c r="AZ93" s="1"/>
      <c r="BA93" s="1"/>
      <c r="BB93" s="1"/>
      <c r="BC93" s="1"/>
      <c r="BD93" s="1"/>
      <c r="BE93" s="1"/>
      <c r="BF93" s="1"/>
      <c r="BQ93" s="63"/>
    </row>
    <row r="94" spans="28:75" s="2" customFormat="1" ht="13.5" thickBot="1" x14ac:dyDescent="0.25">
      <c r="AD94" s="52"/>
      <c r="AE94" s="2" t="s">
        <v>23</v>
      </c>
      <c r="BC94" s="24">
        <v>1</v>
      </c>
      <c r="BD94" s="31"/>
      <c r="BE94" s="31"/>
      <c r="BF94" s="41"/>
      <c r="BG94" s="41"/>
      <c r="BH94" s="6"/>
      <c r="BI94" s="33"/>
      <c r="BJ94" s="33"/>
      <c r="BK94" s="27"/>
      <c r="BL94" s="6"/>
      <c r="BM94" s="42">
        <f>IF(BW94=TRUE,1,0)</f>
        <v>0</v>
      </c>
      <c r="BQ94" s="62"/>
      <c r="BW94" s="2" t="b">
        <v>0</v>
      </c>
    </row>
    <row r="95" spans="28:75" s="2" customFormat="1" ht="4.5" customHeight="1" x14ac:dyDescent="0.2">
      <c r="BQ95" s="63"/>
    </row>
    <row r="96" spans="28:75" s="2" customFormat="1" ht="13.5" thickBot="1" x14ac:dyDescent="0.25">
      <c r="AD96" s="52"/>
      <c r="AE96" s="2" t="s">
        <v>24</v>
      </c>
      <c r="BC96" s="24">
        <v>1</v>
      </c>
      <c r="BD96" s="31"/>
      <c r="BE96" s="31"/>
      <c r="BF96" s="41"/>
      <c r="BG96" s="41"/>
      <c r="BH96" s="6"/>
      <c r="BI96" s="33"/>
      <c r="BJ96" s="33"/>
      <c r="BK96" s="27"/>
      <c r="BL96" s="6"/>
      <c r="BM96" s="42">
        <f>IF(BW96=TRUE,1,0)</f>
        <v>0</v>
      </c>
      <c r="BQ96" s="62"/>
      <c r="BW96" s="2" t="b">
        <v>0</v>
      </c>
    </row>
    <row r="97" spans="28:75" s="2" customFormat="1" ht="4.5" customHeight="1" x14ac:dyDescent="0.2">
      <c r="BQ97" s="63"/>
    </row>
    <row r="98" spans="28:75" s="2" customFormat="1" ht="13.5" thickBot="1" x14ac:dyDescent="0.25">
      <c r="AD98" s="52"/>
      <c r="AE98" s="2" t="s">
        <v>25</v>
      </c>
      <c r="BC98" s="24">
        <v>1</v>
      </c>
      <c r="BD98" s="31"/>
      <c r="BE98" s="31"/>
      <c r="BF98" s="41"/>
      <c r="BG98" s="41"/>
      <c r="BH98" s="6"/>
      <c r="BI98" s="33"/>
      <c r="BJ98" s="33"/>
      <c r="BK98" s="27"/>
      <c r="BL98" s="6"/>
      <c r="BM98" s="42">
        <f>IF(BW98=TRUE,1,0)</f>
        <v>0</v>
      </c>
      <c r="BQ98" s="62"/>
      <c r="BW98" s="2" t="b">
        <v>0</v>
      </c>
    </row>
    <row r="99" spans="28:75" s="2" customFormat="1" ht="4.5" customHeight="1" x14ac:dyDescent="0.2">
      <c r="BQ99" s="63"/>
    </row>
    <row r="100" spans="28:75" s="2" customFormat="1" ht="13.5" thickBot="1" x14ac:dyDescent="0.25">
      <c r="AD100" s="52"/>
      <c r="AE100" s="2" t="s">
        <v>26</v>
      </c>
      <c r="BC100" s="24">
        <v>1</v>
      </c>
      <c r="BD100" s="31"/>
      <c r="BE100" s="31"/>
      <c r="BF100" s="41"/>
      <c r="BG100" s="41"/>
      <c r="BH100" s="6"/>
      <c r="BI100" s="33"/>
      <c r="BJ100" s="33"/>
      <c r="BK100" s="27"/>
      <c r="BL100" s="6"/>
      <c r="BM100" s="42">
        <f>IF(BW100=TRUE,1,0)</f>
        <v>0</v>
      </c>
      <c r="BQ100" s="62"/>
      <c r="BW100" s="2" t="b">
        <v>0</v>
      </c>
    </row>
    <row r="101" spans="28:75" s="2" customFormat="1" ht="4.5" customHeight="1" x14ac:dyDescent="0.2">
      <c r="BQ101" s="63"/>
    </row>
    <row r="102" spans="28:75" s="2" customFormat="1" ht="13.5" thickBot="1" x14ac:dyDescent="0.25">
      <c r="AD102" s="52"/>
      <c r="AE102" s="2" t="s">
        <v>27</v>
      </c>
      <c r="BC102" s="24">
        <v>1</v>
      </c>
      <c r="BD102" s="31"/>
      <c r="BE102" s="31"/>
      <c r="BF102" s="41"/>
      <c r="BG102" s="41"/>
      <c r="BH102" s="6"/>
      <c r="BI102" s="33"/>
      <c r="BJ102" s="33"/>
      <c r="BK102" s="27"/>
      <c r="BL102" s="6"/>
      <c r="BM102" s="42">
        <f>IF(BW102=TRUE,1,0)</f>
        <v>0</v>
      </c>
      <c r="BQ102" s="62"/>
      <c r="BW102" s="2" t="b">
        <v>0</v>
      </c>
    </row>
    <row r="103" spans="28:75" s="2" customFormat="1" ht="4.5" customHeight="1" x14ac:dyDescent="0.2">
      <c r="BQ103" s="63"/>
    </row>
    <row r="104" spans="28:75" s="2" customFormat="1" ht="13.5" thickBot="1" x14ac:dyDescent="0.25">
      <c r="AD104" s="52"/>
      <c r="AE104" s="2" t="s">
        <v>28</v>
      </c>
      <c r="BC104" s="24">
        <v>1</v>
      </c>
      <c r="BD104" s="31"/>
      <c r="BE104" s="31"/>
      <c r="BF104" s="41"/>
      <c r="BG104" s="41"/>
      <c r="BH104" s="6"/>
      <c r="BI104" s="33"/>
      <c r="BJ104" s="33"/>
      <c r="BK104" s="27"/>
      <c r="BL104" s="6"/>
      <c r="BM104" s="42">
        <f>IF(BW104=TRUE,1,0)</f>
        <v>0</v>
      </c>
      <c r="BQ104" s="62"/>
      <c r="BW104" s="2" t="b">
        <v>0</v>
      </c>
    </row>
    <row r="105" spans="28:75" ht="6" customHeight="1" x14ac:dyDescent="0.2">
      <c r="BQ105" s="63"/>
    </row>
    <row r="106" spans="28:75" ht="13.5" thickBot="1" x14ac:dyDescent="0.25">
      <c r="AD106" s="35" t="s">
        <v>49</v>
      </c>
      <c r="AE106" s="2"/>
      <c r="AF106" s="2"/>
      <c r="AG106" s="2"/>
      <c r="AH106" s="2"/>
      <c r="AI106" s="2"/>
      <c r="AJ106" s="2"/>
      <c r="AK106" s="2"/>
      <c r="AL106" s="2"/>
      <c r="AM106" s="2"/>
      <c r="BI106" s="20" t="s">
        <v>50</v>
      </c>
      <c r="BJ106" s="20"/>
      <c r="BK106" s="20"/>
      <c r="BL106" s="20"/>
      <c r="BM106" s="45">
        <f>BM94+BM96+BM98+BM100+BM102+BM104</f>
        <v>0</v>
      </c>
      <c r="BO106" s="36" t="str">
        <f>IF(BM106&gt;3,"Erreur","")</f>
        <v/>
      </c>
      <c r="BQ106" s="62">
        <f>BQ94+BQ96+BQ98+BQ100+BQ102+BQ104</f>
        <v>0</v>
      </c>
    </row>
    <row r="107" spans="28:75" x14ac:dyDescent="0.2">
      <c r="BQ107" s="63"/>
    </row>
    <row r="108" spans="28:75" s="51" customFormat="1" ht="15" customHeight="1" thickBot="1" x14ac:dyDescent="0.25">
      <c r="AB108" s="569" t="s">
        <v>1</v>
      </c>
      <c r="AC108" s="570"/>
      <c r="AD108" s="570"/>
      <c r="AE108" s="570"/>
      <c r="AF108" s="570"/>
      <c r="AG108" s="570"/>
      <c r="AH108" s="570"/>
      <c r="AI108" s="570"/>
      <c r="AJ108" s="570"/>
      <c r="AK108" s="570"/>
      <c r="AL108" s="570"/>
      <c r="AM108" s="570"/>
      <c r="AN108" s="570"/>
      <c r="AO108" s="570"/>
      <c r="AP108" s="570"/>
      <c r="AQ108" s="570"/>
      <c r="AR108" s="570"/>
      <c r="AS108" s="570"/>
      <c r="AT108" s="570"/>
      <c r="AU108" s="570"/>
      <c r="AV108" s="570"/>
      <c r="AW108" s="570"/>
      <c r="AX108" s="570"/>
      <c r="AY108" s="570"/>
      <c r="AZ108" s="570"/>
      <c r="BA108" s="570"/>
      <c r="BB108" s="570"/>
      <c r="BC108" s="570"/>
      <c r="BD108" s="570"/>
      <c r="BE108" s="570"/>
      <c r="BF108" s="570"/>
      <c r="BG108" s="570"/>
      <c r="BH108" s="570"/>
      <c r="BI108" s="570"/>
      <c r="BJ108" s="571"/>
      <c r="BK108" s="50"/>
      <c r="BM108" s="49">
        <f>BM40+BM45+BM47+BM51+BM53+BM61+BM63+BM71+BM76+BM88+BM90+BM106</f>
        <v>0</v>
      </c>
      <c r="BQ108" s="62">
        <f>BQ40+BQ45+BQ47+BQ51+BQ53+BQ61+BQ63+BQ71+BQ76+BQ88+BQ90+BQ106</f>
        <v>0</v>
      </c>
    </row>
    <row r="111" spans="28:75" s="9" customFormat="1" ht="45" customHeight="1" thickBot="1" x14ac:dyDescent="0.25">
      <c r="AB111" s="563" t="s">
        <v>11</v>
      </c>
      <c r="AC111" s="564"/>
      <c r="AD111" s="564"/>
      <c r="AE111" s="564"/>
      <c r="AF111" s="564"/>
      <c r="AG111" s="564"/>
      <c r="AH111" s="564"/>
      <c r="AI111" s="564"/>
      <c r="AJ111" s="564"/>
      <c r="AK111" s="564"/>
      <c r="AL111" s="564"/>
      <c r="AM111" s="564"/>
      <c r="AN111" s="564"/>
      <c r="AO111" s="564"/>
      <c r="AP111" s="564"/>
      <c r="AQ111" s="564"/>
      <c r="AR111" s="564"/>
      <c r="AS111" s="564"/>
      <c r="AT111" s="564"/>
      <c r="AU111" s="564"/>
      <c r="AV111" s="564"/>
      <c r="AW111" s="564"/>
      <c r="AX111" s="564"/>
      <c r="AY111" s="564"/>
      <c r="AZ111" s="565"/>
      <c r="BB111" s="557" t="s">
        <v>22</v>
      </c>
      <c r="BC111" s="558"/>
      <c r="BD111" s="559"/>
      <c r="BE111" s="28"/>
      <c r="BF111" s="28"/>
      <c r="BG111" s="28"/>
      <c r="BH111" s="28"/>
      <c r="BI111" s="28"/>
      <c r="BJ111" s="28"/>
      <c r="BK111" s="28"/>
      <c r="BL111" s="566" t="s">
        <v>2</v>
      </c>
      <c r="BM111" s="567"/>
      <c r="BN111" s="568"/>
      <c r="BO111" s="28"/>
      <c r="BP111" s="560" t="s">
        <v>54</v>
      </c>
      <c r="BQ111" s="561"/>
      <c r="BR111" s="562"/>
      <c r="BS111" s="28"/>
    </row>
    <row r="113" spans="28:71" ht="13.5" thickBot="1" x14ac:dyDescent="0.25">
      <c r="AB113" s="1" t="s">
        <v>15</v>
      </c>
      <c r="AZ113" s="64" t="s">
        <v>6</v>
      </c>
      <c r="BC113" s="24">
        <v>11</v>
      </c>
      <c r="BM113" s="47">
        <f>BM93+BM95+BM97+BM99+BM101</f>
        <v>0</v>
      </c>
      <c r="BQ113" s="62"/>
    </row>
    <row r="115" spans="28:71" ht="13.5" thickBot="1" x14ac:dyDescent="0.25">
      <c r="AB115" s="1" t="s">
        <v>16</v>
      </c>
      <c r="AZ115" s="64" t="s">
        <v>6</v>
      </c>
      <c r="BC115" s="24">
        <v>14</v>
      </c>
      <c r="BM115" s="49">
        <f>BM46+BM50+BM54+BM59+BM61+BM69+BM71+BM78+BM84+BM95+BM97+BM112</f>
        <v>0</v>
      </c>
      <c r="BQ115" s="62"/>
    </row>
    <row r="117" spans="28:71" x14ac:dyDescent="0.2">
      <c r="AB117" s="1" t="s">
        <v>7</v>
      </c>
      <c r="AN117" s="552" t="str">
        <f>IF(AND(BM113&gt;=11,BM115&gt;=14),"OUI","NON")</f>
        <v>NON</v>
      </c>
      <c r="AO117" s="552"/>
    </row>
    <row r="119" spans="28:71" x14ac:dyDescent="0.2">
      <c r="AB119" s="1" t="s">
        <v>8</v>
      </c>
    </row>
    <row r="120" spans="28:71" x14ac:dyDescent="0.2">
      <c r="AB120" s="553"/>
      <c r="AC120" s="554"/>
      <c r="AD120" s="554"/>
      <c r="AE120" s="554"/>
      <c r="AF120" s="554"/>
      <c r="AG120" s="554"/>
      <c r="AH120" s="554"/>
      <c r="AI120" s="554"/>
      <c r="AJ120" s="554"/>
      <c r="AK120" s="554"/>
      <c r="AL120" s="554"/>
      <c r="AM120" s="554"/>
      <c r="AN120" s="554"/>
      <c r="AO120" s="554"/>
      <c r="AP120" s="554"/>
      <c r="AQ120" s="554"/>
      <c r="AR120" s="554"/>
      <c r="AS120" s="554"/>
      <c r="AT120" s="554"/>
      <c r="AU120" s="554"/>
      <c r="AV120" s="554"/>
      <c r="AW120" s="554"/>
      <c r="AX120" s="554"/>
      <c r="AY120" s="554"/>
      <c r="AZ120" s="554"/>
      <c r="BA120" s="554"/>
      <c r="BB120" s="554"/>
      <c r="BC120" s="554"/>
      <c r="BD120" s="554"/>
      <c r="BE120" s="554"/>
      <c r="BF120" s="554"/>
      <c r="BG120" s="554"/>
      <c r="BH120" s="554"/>
      <c r="BI120" s="554"/>
      <c r="BJ120" s="554"/>
      <c r="BK120" s="554"/>
      <c r="BL120" s="554"/>
      <c r="BM120" s="554"/>
      <c r="BN120" s="554"/>
      <c r="BO120" s="554"/>
      <c r="BP120" s="554"/>
      <c r="BQ120" s="554"/>
      <c r="BR120" s="554"/>
      <c r="BS120" s="554"/>
    </row>
    <row r="121" spans="28:71" x14ac:dyDescent="0.2">
      <c r="AB121" s="553"/>
      <c r="AC121" s="554"/>
      <c r="AD121" s="554"/>
      <c r="AE121" s="554"/>
      <c r="AF121" s="554"/>
      <c r="AG121" s="554"/>
      <c r="AH121" s="554"/>
      <c r="AI121" s="554"/>
      <c r="AJ121" s="554"/>
      <c r="AK121" s="554"/>
      <c r="AL121" s="554"/>
      <c r="AM121" s="554"/>
      <c r="AN121" s="554"/>
      <c r="AO121" s="554"/>
      <c r="AP121" s="554"/>
      <c r="AQ121" s="554"/>
      <c r="AR121" s="554"/>
      <c r="AS121" s="554"/>
      <c r="AT121" s="554"/>
      <c r="AU121" s="554"/>
      <c r="AV121" s="554"/>
      <c r="AW121" s="554"/>
      <c r="AX121" s="554"/>
      <c r="AY121" s="554"/>
      <c r="AZ121" s="554"/>
      <c r="BA121" s="554"/>
      <c r="BB121" s="554"/>
      <c r="BC121" s="554"/>
      <c r="BD121" s="554"/>
      <c r="BE121" s="554"/>
      <c r="BF121" s="554"/>
      <c r="BG121" s="554"/>
      <c r="BH121" s="554"/>
      <c r="BI121" s="554"/>
      <c r="BJ121" s="554"/>
      <c r="BK121" s="554"/>
      <c r="BL121" s="554"/>
      <c r="BM121" s="554"/>
      <c r="BN121" s="554"/>
      <c r="BO121" s="554"/>
      <c r="BP121" s="554"/>
      <c r="BQ121" s="554"/>
      <c r="BR121" s="554"/>
      <c r="BS121" s="554"/>
    </row>
    <row r="122" spans="28:71" x14ac:dyDescent="0.2">
      <c r="AB122" s="555"/>
      <c r="AC122" s="556"/>
      <c r="AD122" s="556"/>
      <c r="AE122" s="556"/>
      <c r="AF122" s="556"/>
      <c r="AG122" s="556"/>
      <c r="AH122" s="556"/>
      <c r="AI122" s="556"/>
      <c r="AJ122" s="556"/>
      <c r="AK122" s="556"/>
      <c r="AL122" s="556"/>
      <c r="AM122" s="556"/>
      <c r="AN122" s="556"/>
      <c r="AO122" s="556"/>
      <c r="AP122" s="556"/>
      <c r="AQ122" s="556"/>
      <c r="AR122" s="556"/>
      <c r="AS122" s="556"/>
      <c r="AT122" s="556"/>
      <c r="AU122" s="556"/>
      <c r="AV122" s="556"/>
      <c r="AW122" s="556"/>
      <c r="AX122" s="556"/>
      <c r="AY122" s="556"/>
      <c r="AZ122" s="556"/>
      <c r="BA122" s="556"/>
      <c r="BB122" s="556"/>
      <c r="BC122" s="556"/>
      <c r="BD122" s="556"/>
      <c r="BE122" s="556"/>
      <c r="BF122" s="556"/>
      <c r="BG122" s="556"/>
      <c r="BH122" s="556"/>
      <c r="BI122" s="556"/>
      <c r="BJ122" s="556"/>
      <c r="BK122" s="556"/>
      <c r="BL122" s="556"/>
      <c r="BM122" s="556"/>
      <c r="BN122" s="556"/>
      <c r="BO122" s="556"/>
      <c r="BP122" s="556"/>
      <c r="BQ122" s="556"/>
      <c r="BR122" s="556"/>
      <c r="BS122" s="556"/>
    </row>
  </sheetData>
  <sheetProtection password="F408" sheet="1" objects="1" scenarios="1" selectLockedCells="1"/>
  <mergeCells count="35">
    <mergeCell ref="AO82:AP82"/>
    <mergeCell ref="AL57:AR57"/>
    <mergeCell ref="AL59:AM59"/>
    <mergeCell ref="AF40:AZ40"/>
    <mergeCell ref="AF45:AZ45"/>
    <mergeCell ref="AL55:AR55"/>
    <mergeCell ref="AG65:AP65"/>
    <mergeCell ref="AG67:AP67"/>
    <mergeCell ref="AG69:AP69"/>
    <mergeCell ref="AO80:AU80"/>
    <mergeCell ref="AO78:AU78"/>
    <mergeCell ref="AB2:BS2"/>
    <mergeCell ref="AQ22:AW22"/>
    <mergeCell ref="AQ24:AW24"/>
    <mergeCell ref="AQ26:AW26"/>
    <mergeCell ref="BL8:BN8"/>
    <mergeCell ref="AE6:AZ6"/>
    <mergeCell ref="AE4:AZ4"/>
    <mergeCell ref="AB8:AZ8"/>
    <mergeCell ref="AN117:AO117"/>
    <mergeCell ref="AB120:BS122"/>
    <mergeCell ref="BB8:BD8"/>
    <mergeCell ref="BP8:BR8"/>
    <mergeCell ref="AB111:AZ111"/>
    <mergeCell ref="BB111:BD111"/>
    <mergeCell ref="BL111:BN111"/>
    <mergeCell ref="BP111:BR111"/>
    <mergeCell ref="AB108:BJ108"/>
    <mergeCell ref="AO86:AP86"/>
    <mergeCell ref="BP34:BR34"/>
    <mergeCell ref="AQ28:AW28"/>
    <mergeCell ref="BB34:BD34"/>
    <mergeCell ref="AB31:BJ31"/>
    <mergeCell ref="AB34:AZ34"/>
    <mergeCell ref="BL34:BN34"/>
  </mergeCells>
  <phoneticPr fontId="17" type="noConversion"/>
  <printOptions horizontalCentered="1"/>
  <pageMargins left="0.19685039370078741" right="0.19685039370078741" top="0.24" bottom="0.33" header="0.17" footer="0.17"/>
  <pageSetup paperSize="9" scale="57" orientation="portrait" r:id="rId1"/>
  <headerFooter alignWithMargins="0">
    <oddFooter>&amp;L&amp;9Crédit d'impôt jeu vidéo - &amp;A&amp;C&amp;9&amp;P/&amp;N&amp;R&amp;9&amp;D</oddFooter>
  </headerFooter>
  <drawing r:id="rId2"/>
  <legacyDrawing r:id="rId3"/>
  <oleObjects>
    <mc:AlternateContent xmlns:mc="http://schemas.openxmlformats.org/markup-compatibility/2006">
      <mc:Choice Requires="x14">
        <oleObject progId="Word.Document.8" shapeId="23553" r:id="rId4">
          <objectPr defaultSize="0" autoPict="0" r:id="rId5">
            <anchor moveWithCells="1">
              <from>
                <xdr:col>26</xdr:col>
                <xdr:colOff>9525</xdr:colOff>
                <xdr:row>0</xdr:row>
                <xdr:rowOff>9525</xdr:rowOff>
              </from>
              <to>
                <xdr:col>101</xdr:col>
                <xdr:colOff>104775</xdr:colOff>
                <xdr:row>0</xdr:row>
                <xdr:rowOff>828675</xdr:rowOff>
              </to>
            </anchor>
          </objectPr>
        </oleObject>
      </mc:Choice>
      <mc:Fallback>
        <oleObject progId="Word.Document.8" shapeId="23553" r:id="rId4"/>
      </mc:Fallback>
    </mc:AlternateContent>
  </oleObjects>
  <mc:AlternateContent xmlns:mc="http://schemas.openxmlformats.org/markup-compatibility/2006">
    <mc:Choice Requires="x14">
      <controls>
        <mc:AlternateContent xmlns:mc="http://schemas.openxmlformats.org/markup-compatibility/2006">
          <mc:Choice Requires="x14">
            <control shapeId="23571" r:id="rId6" name="Check Box 19">
              <controlPr defaultSize="0" autoFill="0" autoLine="0" autoPict="0">
                <anchor moveWithCells="1">
                  <from>
                    <xdr:col>56</xdr:col>
                    <xdr:colOff>104775</xdr:colOff>
                    <xdr:row>8</xdr:row>
                    <xdr:rowOff>133350</xdr:rowOff>
                  </from>
                  <to>
                    <xdr:col>91</xdr:col>
                    <xdr:colOff>142875</xdr:colOff>
                    <xdr:row>10</xdr:row>
                    <xdr:rowOff>28575</xdr:rowOff>
                  </to>
                </anchor>
              </controlPr>
            </control>
          </mc:Choice>
        </mc:AlternateContent>
        <mc:AlternateContent xmlns:mc="http://schemas.openxmlformats.org/markup-compatibility/2006">
          <mc:Choice Requires="x14">
            <control shapeId="23572" r:id="rId7" name="Check Box 20">
              <controlPr defaultSize="0" autoFill="0" autoLine="0" autoPict="0">
                <anchor moveWithCells="1">
                  <from>
                    <xdr:col>59</xdr:col>
                    <xdr:colOff>95250</xdr:colOff>
                    <xdr:row>8</xdr:row>
                    <xdr:rowOff>133350</xdr:rowOff>
                  </from>
                  <to>
                    <xdr:col>91</xdr:col>
                    <xdr:colOff>76200</xdr:colOff>
                    <xdr:row>10</xdr:row>
                    <xdr:rowOff>28575</xdr:rowOff>
                  </to>
                </anchor>
              </controlPr>
            </control>
          </mc:Choice>
        </mc:AlternateContent>
        <mc:AlternateContent xmlns:mc="http://schemas.openxmlformats.org/markup-compatibility/2006">
          <mc:Choice Requires="x14">
            <control shapeId="23573" r:id="rId8" name="Check Box 21">
              <controlPr defaultSize="0" autoFill="0" autoLine="0" autoPict="0">
                <anchor moveWithCells="1">
                  <from>
                    <xdr:col>56</xdr:col>
                    <xdr:colOff>104775</xdr:colOff>
                    <xdr:row>10</xdr:row>
                    <xdr:rowOff>38100</xdr:rowOff>
                  </from>
                  <to>
                    <xdr:col>90</xdr:col>
                    <xdr:colOff>209550</xdr:colOff>
                    <xdr:row>12</xdr:row>
                    <xdr:rowOff>28575</xdr:rowOff>
                  </to>
                </anchor>
              </controlPr>
            </control>
          </mc:Choice>
        </mc:AlternateContent>
        <mc:AlternateContent xmlns:mc="http://schemas.openxmlformats.org/markup-compatibility/2006">
          <mc:Choice Requires="x14">
            <control shapeId="23574" r:id="rId9" name="Check Box 22">
              <controlPr defaultSize="0" autoFill="0" autoLine="0" autoPict="0">
                <anchor moveWithCells="1">
                  <from>
                    <xdr:col>59</xdr:col>
                    <xdr:colOff>104775</xdr:colOff>
                    <xdr:row>10</xdr:row>
                    <xdr:rowOff>38100</xdr:rowOff>
                  </from>
                  <to>
                    <xdr:col>91</xdr:col>
                    <xdr:colOff>47625</xdr:colOff>
                    <xdr:row>12</xdr:row>
                    <xdr:rowOff>28575</xdr:rowOff>
                  </to>
                </anchor>
              </controlPr>
            </control>
          </mc:Choice>
        </mc:AlternateContent>
        <mc:AlternateContent xmlns:mc="http://schemas.openxmlformats.org/markup-compatibility/2006">
          <mc:Choice Requires="x14">
            <control shapeId="23575" r:id="rId10" name="Check Box 23">
              <controlPr defaultSize="0" autoFill="0" autoLine="0" autoPict="0">
                <anchor moveWithCells="1">
                  <from>
                    <xdr:col>57</xdr:col>
                    <xdr:colOff>0</xdr:colOff>
                    <xdr:row>14</xdr:row>
                    <xdr:rowOff>38100</xdr:rowOff>
                  </from>
                  <to>
                    <xdr:col>90</xdr:col>
                    <xdr:colOff>209550</xdr:colOff>
                    <xdr:row>16</xdr:row>
                    <xdr:rowOff>28575</xdr:rowOff>
                  </to>
                </anchor>
              </controlPr>
            </control>
          </mc:Choice>
        </mc:AlternateContent>
        <mc:AlternateContent xmlns:mc="http://schemas.openxmlformats.org/markup-compatibility/2006">
          <mc:Choice Requires="x14">
            <control shapeId="23576" r:id="rId11" name="Check Box 24">
              <controlPr defaultSize="0" autoFill="0" autoLine="0" autoPict="0">
                <anchor moveWithCells="1">
                  <from>
                    <xdr:col>56</xdr:col>
                    <xdr:colOff>104775</xdr:colOff>
                    <xdr:row>12</xdr:row>
                    <xdr:rowOff>38100</xdr:rowOff>
                  </from>
                  <to>
                    <xdr:col>90</xdr:col>
                    <xdr:colOff>209550</xdr:colOff>
                    <xdr:row>14</xdr:row>
                    <xdr:rowOff>28575</xdr:rowOff>
                  </to>
                </anchor>
              </controlPr>
            </control>
          </mc:Choice>
        </mc:AlternateContent>
        <mc:AlternateContent xmlns:mc="http://schemas.openxmlformats.org/markup-compatibility/2006">
          <mc:Choice Requires="x14">
            <control shapeId="23577" r:id="rId12" name="Check Box 25">
              <controlPr defaultSize="0" autoFill="0" autoLine="0" autoPict="0">
                <anchor moveWithCells="1">
                  <from>
                    <xdr:col>57</xdr:col>
                    <xdr:colOff>0</xdr:colOff>
                    <xdr:row>16</xdr:row>
                    <xdr:rowOff>38100</xdr:rowOff>
                  </from>
                  <to>
                    <xdr:col>90</xdr:col>
                    <xdr:colOff>209550</xdr:colOff>
                    <xdr:row>18</xdr:row>
                    <xdr:rowOff>28575</xdr:rowOff>
                  </to>
                </anchor>
              </controlPr>
            </control>
          </mc:Choice>
        </mc:AlternateContent>
        <mc:AlternateContent xmlns:mc="http://schemas.openxmlformats.org/markup-compatibility/2006">
          <mc:Choice Requires="x14">
            <control shapeId="23578" r:id="rId13" name="Check Box 26">
              <controlPr defaultSize="0" autoFill="0" autoLine="0" autoPict="0">
                <anchor moveWithCells="1">
                  <from>
                    <xdr:col>60</xdr:col>
                    <xdr:colOff>0</xdr:colOff>
                    <xdr:row>14</xdr:row>
                    <xdr:rowOff>38100</xdr:rowOff>
                  </from>
                  <to>
                    <xdr:col>91</xdr:col>
                    <xdr:colOff>47625</xdr:colOff>
                    <xdr:row>16</xdr:row>
                    <xdr:rowOff>28575</xdr:rowOff>
                  </to>
                </anchor>
              </controlPr>
            </control>
          </mc:Choice>
        </mc:AlternateContent>
        <mc:AlternateContent xmlns:mc="http://schemas.openxmlformats.org/markup-compatibility/2006">
          <mc:Choice Requires="x14">
            <control shapeId="23579" r:id="rId14" name="Check Box 27">
              <controlPr defaultSize="0" autoFill="0" autoLine="0" autoPict="0">
                <anchor moveWithCells="1">
                  <from>
                    <xdr:col>59</xdr:col>
                    <xdr:colOff>104775</xdr:colOff>
                    <xdr:row>12</xdr:row>
                    <xdr:rowOff>38100</xdr:rowOff>
                  </from>
                  <to>
                    <xdr:col>91</xdr:col>
                    <xdr:colOff>47625</xdr:colOff>
                    <xdr:row>14</xdr:row>
                    <xdr:rowOff>28575</xdr:rowOff>
                  </to>
                </anchor>
              </controlPr>
            </control>
          </mc:Choice>
        </mc:AlternateContent>
        <mc:AlternateContent xmlns:mc="http://schemas.openxmlformats.org/markup-compatibility/2006">
          <mc:Choice Requires="x14">
            <control shapeId="23580" r:id="rId15" name="Check Box 28">
              <controlPr defaultSize="0" autoFill="0" autoLine="0" autoPict="0">
                <anchor moveWithCells="1">
                  <from>
                    <xdr:col>60</xdr:col>
                    <xdr:colOff>0</xdr:colOff>
                    <xdr:row>16</xdr:row>
                    <xdr:rowOff>38100</xdr:rowOff>
                  </from>
                  <to>
                    <xdr:col>91</xdr:col>
                    <xdr:colOff>47625</xdr:colOff>
                    <xdr:row>18</xdr:row>
                    <xdr:rowOff>28575</xdr:rowOff>
                  </to>
                </anchor>
              </controlPr>
            </control>
          </mc:Choice>
        </mc:AlternateContent>
        <mc:AlternateContent xmlns:mc="http://schemas.openxmlformats.org/markup-compatibility/2006">
          <mc:Choice Requires="x14">
            <control shapeId="23581" r:id="rId16" name="Check Box 29">
              <controlPr defaultSize="0" autoFill="0" autoLine="0" autoPict="0">
                <anchor moveWithCells="1">
                  <from>
                    <xdr:col>57</xdr:col>
                    <xdr:colOff>0</xdr:colOff>
                    <xdr:row>26</xdr:row>
                    <xdr:rowOff>9525</xdr:rowOff>
                  </from>
                  <to>
                    <xdr:col>90</xdr:col>
                    <xdr:colOff>209550</xdr:colOff>
                    <xdr:row>28</xdr:row>
                    <xdr:rowOff>9525</xdr:rowOff>
                  </to>
                </anchor>
              </controlPr>
            </control>
          </mc:Choice>
        </mc:AlternateContent>
        <mc:AlternateContent xmlns:mc="http://schemas.openxmlformats.org/markup-compatibility/2006">
          <mc:Choice Requires="x14">
            <control shapeId="23582" r:id="rId17" name="Check Box 30">
              <controlPr defaultSize="0" autoFill="0" autoLine="0" autoPict="0">
                <anchor moveWithCells="1">
                  <from>
                    <xdr:col>60</xdr:col>
                    <xdr:colOff>0</xdr:colOff>
                    <xdr:row>26</xdr:row>
                    <xdr:rowOff>9525</xdr:rowOff>
                  </from>
                  <to>
                    <xdr:col>91</xdr:col>
                    <xdr:colOff>47625</xdr:colOff>
                    <xdr:row>28</xdr:row>
                    <xdr:rowOff>9525</xdr:rowOff>
                  </to>
                </anchor>
              </controlPr>
            </control>
          </mc:Choice>
        </mc:AlternateContent>
        <mc:AlternateContent xmlns:mc="http://schemas.openxmlformats.org/markup-compatibility/2006">
          <mc:Choice Requires="x14">
            <control shapeId="23591" r:id="rId18" name="Check Box 39">
              <controlPr defaultSize="0" autoFill="0" autoLine="0" autoPict="0">
                <anchor moveWithCells="1">
                  <from>
                    <xdr:col>57</xdr:col>
                    <xdr:colOff>0</xdr:colOff>
                    <xdr:row>38</xdr:row>
                    <xdr:rowOff>9525</xdr:rowOff>
                  </from>
                  <to>
                    <xdr:col>90</xdr:col>
                    <xdr:colOff>209550</xdr:colOff>
                    <xdr:row>40</xdr:row>
                    <xdr:rowOff>9525</xdr:rowOff>
                  </to>
                </anchor>
              </controlPr>
            </control>
          </mc:Choice>
        </mc:AlternateContent>
        <mc:AlternateContent xmlns:mc="http://schemas.openxmlformats.org/markup-compatibility/2006">
          <mc:Choice Requires="x14">
            <control shapeId="23592" r:id="rId19" name="Check Box 40">
              <controlPr defaultSize="0" autoFill="0" autoLine="0" autoPict="0">
                <anchor moveWithCells="1">
                  <from>
                    <xdr:col>60</xdr:col>
                    <xdr:colOff>0</xdr:colOff>
                    <xdr:row>38</xdr:row>
                    <xdr:rowOff>9525</xdr:rowOff>
                  </from>
                  <to>
                    <xdr:col>91</xdr:col>
                    <xdr:colOff>47625</xdr:colOff>
                    <xdr:row>40</xdr:row>
                    <xdr:rowOff>9525</xdr:rowOff>
                  </to>
                </anchor>
              </controlPr>
            </control>
          </mc:Choice>
        </mc:AlternateContent>
        <mc:AlternateContent xmlns:mc="http://schemas.openxmlformats.org/markup-compatibility/2006">
          <mc:Choice Requires="x14">
            <control shapeId="23593" r:id="rId20" name="Check Box 41">
              <controlPr defaultSize="0" autoFill="0" autoLine="0" autoPict="0">
                <anchor moveWithCells="1">
                  <from>
                    <xdr:col>57</xdr:col>
                    <xdr:colOff>0</xdr:colOff>
                    <xdr:row>43</xdr:row>
                    <xdr:rowOff>9525</xdr:rowOff>
                  </from>
                  <to>
                    <xdr:col>90</xdr:col>
                    <xdr:colOff>209550</xdr:colOff>
                    <xdr:row>45</xdr:row>
                    <xdr:rowOff>9525</xdr:rowOff>
                  </to>
                </anchor>
              </controlPr>
            </control>
          </mc:Choice>
        </mc:AlternateContent>
        <mc:AlternateContent xmlns:mc="http://schemas.openxmlformats.org/markup-compatibility/2006">
          <mc:Choice Requires="x14">
            <control shapeId="23594" r:id="rId21" name="Check Box 42">
              <controlPr defaultSize="0" autoFill="0" autoLine="0" autoPict="0">
                <anchor moveWithCells="1">
                  <from>
                    <xdr:col>60</xdr:col>
                    <xdr:colOff>0</xdr:colOff>
                    <xdr:row>43</xdr:row>
                    <xdr:rowOff>9525</xdr:rowOff>
                  </from>
                  <to>
                    <xdr:col>91</xdr:col>
                    <xdr:colOff>47625</xdr:colOff>
                    <xdr:row>45</xdr:row>
                    <xdr:rowOff>9525</xdr:rowOff>
                  </to>
                </anchor>
              </controlPr>
            </control>
          </mc:Choice>
        </mc:AlternateContent>
        <mc:AlternateContent xmlns:mc="http://schemas.openxmlformats.org/markup-compatibility/2006">
          <mc:Choice Requires="x14">
            <control shapeId="23595" r:id="rId22" name="Check Box 43">
              <controlPr defaultSize="0" autoFill="0" autoLine="0" autoPict="0">
                <anchor moveWithCells="1">
                  <from>
                    <xdr:col>57</xdr:col>
                    <xdr:colOff>0</xdr:colOff>
                    <xdr:row>45</xdr:row>
                    <xdr:rowOff>114300</xdr:rowOff>
                  </from>
                  <to>
                    <xdr:col>90</xdr:col>
                    <xdr:colOff>209550</xdr:colOff>
                    <xdr:row>47</xdr:row>
                    <xdr:rowOff>9525</xdr:rowOff>
                  </to>
                </anchor>
              </controlPr>
            </control>
          </mc:Choice>
        </mc:AlternateContent>
        <mc:AlternateContent xmlns:mc="http://schemas.openxmlformats.org/markup-compatibility/2006">
          <mc:Choice Requires="x14">
            <control shapeId="23596" r:id="rId23" name="Check Box 44">
              <controlPr defaultSize="0" autoFill="0" autoLine="0" autoPict="0">
                <anchor moveWithCells="1">
                  <from>
                    <xdr:col>60</xdr:col>
                    <xdr:colOff>0</xdr:colOff>
                    <xdr:row>45</xdr:row>
                    <xdr:rowOff>123825</xdr:rowOff>
                  </from>
                  <to>
                    <xdr:col>91</xdr:col>
                    <xdr:colOff>47625</xdr:colOff>
                    <xdr:row>47</xdr:row>
                    <xdr:rowOff>9525</xdr:rowOff>
                  </to>
                </anchor>
              </controlPr>
            </control>
          </mc:Choice>
        </mc:AlternateContent>
        <mc:AlternateContent xmlns:mc="http://schemas.openxmlformats.org/markup-compatibility/2006">
          <mc:Choice Requires="x14">
            <control shapeId="23599" r:id="rId24" name="Check Box 47">
              <controlPr defaultSize="0" autoFill="0" autoLine="0" autoPict="0">
                <anchor moveWithCells="1">
                  <from>
                    <xdr:col>57</xdr:col>
                    <xdr:colOff>0</xdr:colOff>
                    <xdr:row>49</xdr:row>
                    <xdr:rowOff>47625</xdr:rowOff>
                  </from>
                  <to>
                    <xdr:col>90</xdr:col>
                    <xdr:colOff>209550</xdr:colOff>
                    <xdr:row>51</xdr:row>
                    <xdr:rowOff>9525</xdr:rowOff>
                  </to>
                </anchor>
              </controlPr>
            </control>
          </mc:Choice>
        </mc:AlternateContent>
        <mc:AlternateContent xmlns:mc="http://schemas.openxmlformats.org/markup-compatibility/2006">
          <mc:Choice Requires="x14">
            <control shapeId="23600" r:id="rId25" name="Check Box 48">
              <controlPr defaultSize="0" autoFill="0" autoLine="0" autoPict="0">
                <anchor moveWithCells="1">
                  <from>
                    <xdr:col>60</xdr:col>
                    <xdr:colOff>0</xdr:colOff>
                    <xdr:row>49</xdr:row>
                    <xdr:rowOff>47625</xdr:rowOff>
                  </from>
                  <to>
                    <xdr:col>91</xdr:col>
                    <xdr:colOff>47625</xdr:colOff>
                    <xdr:row>51</xdr:row>
                    <xdr:rowOff>9525</xdr:rowOff>
                  </to>
                </anchor>
              </controlPr>
            </control>
          </mc:Choice>
        </mc:AlternateContent>
        <mc:AlternateContent xmlns:mc="http://schemas.openxmlformats.org/markup-compatibility/2006">
          <mc:Choice Requires="x14">
            <control shapeId="23601" r:id="rId26" name="Check Box 49">
              <controlPr defaultSize="0" autoFill="0" autoLine="0" autoPict="0">
                <anchor moveWithCells="1">
                  <from>
                    <xdr:col>57</xdr:col>
                    <xdr:colOff>0</xdr:colOff>
                    <xdr:row>51</xdr:row>
                    <xdr:rowOff>28575</xdr:rowOff>
                  </from>
                  <to>
                    <xdr:col>90</xdr:col>
                    <xdr:colOff>209550</xdr:colOff>
                    <xdr:row>53</xdr:row>
                    <xdr:rowOff>9525</xdr:rowOff>
                  </to>
                </anchor>
              </controlPr>
            </control>
          </mc:Choice>
        </mc:AlternateContent>
        <mc:AlternateContent xmlns:mc="http://schemas.openxmlformats.org/markup-compatibility/2006">
          <mc:Choice Requires="x14">
            <control shapeId="23602" r:id="rId27" name="Check Box 50">
              <controlPr defaultSize="0" autoFill="0" autoLine="0" autoPict="0">
                <anchor moveWithCells="1">
                  <from>
                    <xdr:col>60</xdr:col>
                    <xdr:colOff>0</xdr:colOff>
                    <xdr:row>51</xdr:row>
                    <xdr:rowOff>28575</xdr:rowOff>
                  </from>
                  <to>
                    <xdr:col>91</xdr:col>
                    <xdr:colOff>47625</xdr:colOff>
                    <xdr:row>53</xdr:row>
                    <xdr:rowOff>9525</xdr:rowOff>
                  </to>
                </anchor>
              </controlPr>
            </control>
          </mc:Choice>
        </mc:AlternateContent>
        <mc:AlternateContent xmlns:mc="http://schemas.openxmlformats.org/markup-compatibility/2006">
          <mc:Choice Requires="x14">
            <control shapeId="23603" r:id="rId28" name="Check Box 51">
              <controlPr defaultSize="0" autoFill="0" autoLine="0" autoPict="0">
                <anchor moveWithCells="1">
                  <from>
                    <xdr:col>57</xdr:col>
                    <xdr:colOff>0</xdr:colOff>
                    <xdr:row>59</xdr:row>
                    <xdr:rowOff>28575</xdr:rowOff>
                  </from>
                  <to>
                    <xdr:col>90</xdr:col>
                    <xdr:colOff>209550</xdr:colOff>
                    <xdr:row>61</xdr:row>
                    <xdr:rowOff>9525</xdr:rowOff>
                  </to>
                </anchor>
              </controlPr>
            </control>
          </mc:Choice>
        </mc:AlternateContent>
        <mc:AlternateContent xmlns:mc="http://schemas.openxmlformats.org/markup-compatibility/2006">
          <mc:Choice Requires="x14">
            <control shapeId="23604" r:id="rId29" name="Check Box 52">
              <controlPr defaultSize="0" autoFill="0" autoLine="0" autoPict="0">
                <anchor moveWithCells="1">
                  <from>
                    <xdr:col>60</xdr:col>
                    <xdr:colOff>0</xdr:colOff>
                    <xdr:row>59</xdr:row>
                    <xdr:rowOff>28575</xdr:rowOff>
                  </from>
                  <to>
                    <xdr:col>91</xdr:col>
                    <xdr:colOff>47625</xdr:colOff>
                    <xdr:row>61</xdr:row>
                    <xdr:rowOff>9525</xdr:rowOff>
                  </to>
                </anchor>
              </controlPr>
            </control>
          </mc:Choice>
        </mc:AlternateContent>
        <mc:AlternateContent xmlns:mc="http://schemas.openxmlformats.org/markup-compatibility/2006">
          <mc:Choice Requires="x14">
            <control shapeId="23605" r:id="rId30" name="Check Box 53">
              <controlPr defaultSize="0" autoFill="0" autoLine="0" autoPict="0">
                <anchor moveWithCells="1">
                  <from>
                    <xdr:col>57</xdr:col>
                    <xdr:colOff>0</xdr:colOff>
                    <xdr:row>61</xdr:row>
                    <xdr:rowOff>28575</xdr:rowOff>
                  </from>
                  <to>
                    <xdr:col>90</xdr:col>
                    <xdr:colOff>209550</xdr:colOff>
                    <xdr:row>63</xdr:row>
                    <xdr:rowOff>9525</xdr:rowOff>
                  </to>
                </anchor>
              </controlPr>
            </control>
          </mc:Choice>
        </mc:AlternateContent>
        <mc:AlternateContent xmlns:mc="http://schemas.openxmlformats.org/markup-compatibility/2006">
          <mc:Choice Requires="x14">
            <control shapeId="23606" r:id="rId31" name="Check Box 54">
              <controlPr defaultSize="0" autoFill="0" autoLine="0" autoPict="0">
                <anchor moveWithCells="1">
                  <from>
                    <xdr:col>60</xdr:col>
                    <xdr:colOff>0</xdr:colOff>
                    <xdr:row>61</xdr:row>
                    <xdr:rowOff>28575</xdr:rowOff>
                  </from>
                  <to>
                    <xdr:col>91</xdr:col>
                    <xdr:colOff>47625</xdr:colOff>
                    <xdr:row>63</xdr:row>
                    <xdr:rowOff>9525</xdr:rowOff>
                  </to>
                </anchor>
              </controlPr>
            </control>
          </mc:Choice>
        </mc:AlternateContent>
        <mc:AlternateContent xmlns:mc="http://schemas.openxmlformats.org/markup-compatibility/2006">
          <mc:Choice Requires="x14">
            <control shapeId="23607" r:id="rId32" name="Check Box 55">
              <controlPr defaultSize="0" autoFill="0" autoLine="0" autoPict="0">
                <anchor moveWithCells="1">
                  <from>
                    <xdr:col>57</xdr:col>
                    <xdr:colOff>0</xdr:colOff>
                    <xdr:row>69</xdr:row>
                    <xdr:rowOff>28575</xdr:rowOff>
                  </from>
                  <to>
                    <xdr:col>90</xdr:col>
                    <xdr:colOff>209550</xdr:colOff>
                    <xdr:row>71</xdr:row>
                    <xdr:rowOff>9525</xdr:rowOff>
                  </to>
                </anchor>
              </controlPr>
            </control>
          </mc:Choice>
        </mc:AlternateContent>
        <mc:AlternateContent xmlns:mc="http://schemas.openxmlformats.org/markup-compatibility/2006">
          <mc:Choice Requires="x14">
            <control shapeId="23608" r:id="rId33" name="Check Box 56">
              <controlPr defaultSize="0" autoFill="0" autoLine="0" autoPict="0">
                <anchor moveWithCells="1">
                  <from>
                    <xdr:col>60</xdr:col>
                    <xdr:colOff>0</xdr:colOff>
                    <xdr:row>69</xdr:row>
                    <xdr:rowOff>28575</xdr:rowOff>
                  </from>
                  <to>
                    <xdr:col>91</xdr:col>
                    <xdr:colOff>47625</xdr:colOff>
                    <xdr:row>71</xdr:row>
                    <xdr:rowOff>9525</xdr:rowOff>
                  </to>
                </anchor>
              </controlPr>
            </control>
          </mc:Choice>
        </mc:AlternateContent>
        <mc:AlternateContent xmlns:mc="http://schemas.openxmlformats.org/markup-compatibility/2006">
          <mc:Choice Requires="x14">
            <control shapeId="23609" r:id="rId34" name="Check Box 57">
              <controlPr defaultSize="0" autoFill="0" autoLine="0" autoPict="0">
                <anchor moveWithCells="1">
                  <from>
                    <xdr:col>57</xdr:col>
                    <xdr:colOff>0</xdr:colOff>
                    <xdr:row>74</xdr:row>
                    <xdr:rowOff>28575</xdr:rowOff>
                  </from>
                  <to>
                    <xdr:col>90</xdr:col>
                    <xdr:colOff>209550</xdr:colOff>
                    <xdr:row>76</xdr:row>
                    <xdr:rowOff>9525</xdr:rowOff>
                  </to>
                </anchor>
              </controlPr>
            </control>
          </mc:Choice>
        </mc:AlternateContent>
        <mc:AlternateContent xmlns:mc="http://schemas.openxmlformats.org/markup-compatibility/2006">
          <mc:Choice Requires="x14">
            <control shapeId="23610" r:id="rId35" name="Check Box 58">
              <controlPr defaultSize="0" autoFill="0" autoLine="0" autoPict="0">
                <anchor moveWithCells="1">
                  <from>
                    <xdr:col>60</xdr:col>
                    <xdr:colOff>0</xdr:colOff>
                    <xdr:row>74</xdr:row>
                    <xdr:rowOff>28575</xdr:rowOff>
                  </from>
                  <to>
                    <xdr:col>91</xdr:col>
                    <xdr:colOff>47625</xdr:colOff>
                    <xdr:row>76</xdr:row>
                    <xdr:rowOff>9525</xdr:rowOff>
                  </to>
                </anchor>
              </controlPr>
            </control>
          </mc:Choice>
        </mc:AlternateContent>
        <mc:AlternateContent xmlns:mc="http://schemas.openxmlformats.org/markup-compatibility/2006">
          <mc:Choice Requires="x14">
            <control shapeId="23611" r:id="rId36" name="Check Box 59">
              <controlPr defaultSize="0" autoFill="0" autoLine="0" autoPict="0">
                <anchor moveWithCells="1">
                  <from>
                    <xdr:col>57</xdr:col>
                    <xdr:colOff>0</xdr:colOff>
                    <xdr:row>86</xdr:row>
                    <xdr:rowOff>47625</xdr:rowOff>
                  </from>
                  <to>
                    <xdr:col>90</xdr:col>
                    <xdr:colOff>209550</xdr:colOff>
                    <xdr:row>88</xdr:row>
                    <xdr:rowOff>28575</xdr:rowOff>
                  </to>
                </anchor>
              </controlPr>
            </control>
          </mc:Choice>
        </mc:AlternateContent>
        <mc:AlternateContent xmlns:mc="http://schemas.openxmlformats.org/markup-compatibility/2006">
          <mc:Choice Requires="x14">
            <control shapeId="23612" r:id="rId37" name="Check Box 60">
              <controlPr defaultSize="0" autoFill="0" autoLine="0" autoPict="0">
                <anchor moveWithCells="1">
                  <from>
                    <xdr:col>60</xdr:col>
                    <xdr:colOff>0</xdr:colOff>
                    <xdr:row>86</xdr:row>
                    <xdr:rowOff>47625</xdr:rowOff>
                  </from>
                  <to>
                    <xdr:col>91</xdr:col>
                    <xdr:colOff>47625</xdr:colOff>
                    <xdr:row>88</xdr:row>
                    <xdr:rowOff>28575</xdr:rowOff>
                  </to>
                </anchor>
              </controlPr>
            </control>
          </mc:Choice>
        </mc:AlternateContent>
        <mc:AlternateContent xmlns:mc="http://schemas.openxmlformats.org/markup-compatibility/2006">
          <mc:Choice Requires="x14">
            <control shapeId="23615" r:id="rId38" name="Check Box 63">
              <controlPr defaultSize="0" autoFill="0" autoLine="0" autoPict="0">
                <anchor moveWithCells="1">
                  <from>
                    <xdr:col>29</xdr:col>
                    <xdr:colOff>0</xdr:colOff>
                    <xdr:row>86</xdr:row>
                    <xdr:rowOff>47625</xdr:rowOff>
                  </from>
                  <to>
                    <xdr:col>97</xdr:col>
                    <xdr:colOff>228600</xdr:colOff>
                    <xdr:row>88</xdr:row>
                    <xdr:rowOff>28575</xdr:rowOff>
                  </to>
                </anchor>
              </controlPr>
            </control>
          </mc:Choice>
        </mc:AlternateContent>
        <mc:AlternateContent xmlns:mc="http://schemas.openxmlformats.org/markup-compatibility/2006">
          <mc:Choice Requires="x14">
            <control shapeId="23616" r:id="rId39" name="Check Box 64">
              <controlPr defaultSize="0" autoFill="0" autoLine="0" autoPict="0">
                <anchor moveWithCells="1">
                  <from>
                    <xdr:col>57</xdr:col>
                    <xdr:colOff>0</xdr:colOff>
                    <xdr:row>88</xdr:row>
                    <xdr:rowOff>47625</xdr:rowOff>
                  </from>
                  <to>
                    <xdr:col>90</xdr:col>
                    <xdr:colOff>209550</xdr:colOff>
                    <xdr:row>90</xdr:row>
                    <xdr:rowOff>9525</xdr:rowOff>
                  </to>
                </anchor>
              </controlPr>
            </control>
          </mc:Choice>
        </mc:AlternateContent>
        <mc:AlternateContent xmlns:mc="http://schemas.openxmlformats.org/markup-compatibility/2006">
          <mc:Choice Requires="x14">
            <control shapeId="23617" r:id="rId40" name="Check Box 65">
              <controlPr defaultSize="0" autoFill="0" autoLine="0" autoPict="0">
                <anchor moveWithCells="1">
                  <from>
                    <xdr:col>60</xdr:col>
                    <xdr:colOff>0</xdr:colOff>
                    <xdr:row>88</xdr:row>
                    <xdr:rowOff>47625</xdr:rowOff>
                  </from>
                  <to>
                    <xdr:col>91</xdr:col>
                    <xdr:colOff>47625</xdr:colOff>
                    <xdr:row>90</xdr:row>
                    <xdr:rowOff>9525</xdr:rowOff>
                  </to>
                </anchor>
              </controlPr>
            </control>
          </mc:Choice>
        </mc:AlternateContent>
        <mc:AlternateContent xmlns:mc="http://schemas.openxmlformats.org/markup-compatibility/2006">
          <mc:Choice Requires="x14">
            <control shapeId="23619" r:id="rId41" name="Check Box 67">
              <controlPr defaultSize="0" autoFill="0" autoLine="0" autoPict="0">
                <anchor moveWithCells="1">
                  <from>
                    <xdr:col>29</xdr:col>
                    <xdr:colOff>0</xdr:colOff>
                    <xdr:row>88</xdr:row>
                    <xdr:rowOff>47625</xdr:rowOff>
                  </from>
                  <to>
                    <xdr:col>99</xdr:col>
                    <xdr:colOff>38100</xdr:colOff>
                    <xdr:row>90</xdr:row>
                    <xdr:rowOff>9525</xdr:rowOff>
                  </to>
                </anchor>
              </controlPr>
            </control>
          </mc:Choice>
        </mc:AlternateContent>
        <mc:AlternateContent xmlns:mc="http://schemas.openxmlformats.org/markup-compatibility/2006">
          <mc:Choice Requires="x14">
            <control shapeId="23620" r:id="rId42" name="Check Box 68">
              <controlPr defaultSize="0" autoFill="0" autoLine="0" autoPict="0">
                <anchor moveWithCells="1">
                  <from>
                    <xdr:col>57</xdr:col>
                    <xdr:colOff>0</xdr:colOff>
                    <xdr:row>92</xdr:row>
                    <xdr:rowOff>28575</xdr:rowOff>
                  </from>
                  <to>
                    <xdr:col>90</xdr:col>
                    <xdr:colOff>209550</xdr:colOff>
                    <xdr:row>94</xdr:row>
                    <xdr:rowOff>9525</xdr:rowOff>
                  </to>
                </anchor>
              </controlPr>
            </control>
          </mc:Choice>
        </mc:AlternateContent>
        <mc:AlternateContent xmlns:mc="http://schemas.openxmlformats.org/markup-compatibility/2006">
          <mc:Choice Requires="x14">
            <control shapeId="23621" r:id="rId43" name="Check Box 69">
              <controlPr defaultSize="0" autoFill="0" autoLine="0" autoPict="0">
                <anchor moveWithCells="1">
                  <from>
                    <xdr:col>60</xdr:col>
                    <xdr:colOff>0</xdr:colOff>
                    <xdr:row>92</xdr:row>
                    <xdr:rowOff>28575</xdr:rowOff>
                  </from>
                  <to>
                    <xdr:col>91</xdr:col>
                    <xdr:colOff>47625</xdr:colOff>
                    <xdr:row>94</xdr:row>
                    <xdr:rowOff>9525</xdr:rowOff>
                  </to>
                </anchor>
              </controlPr>
            </control>
          </mc:Choice>
        </mc:AlternateContent>
        <mc:AlternateContent xmlns:mc="http://schemas.openxmlformats.org/markup-compatibility/2006">
          <mc:Choice Requires="x14">
            <control shapeId="23623" r:id="rId44" name="Check Box 71">
              <controlPr defaultSize="0" autoFill="0" autoLine="0" autoPict="0">
                <anchor moveWithCells="1">
                  <from>
                    <xdr:col>29</xdr:col>
                    <xdr:colOff>38100</xdr:colOff>
                    <xdr:row>92</xdr:row>
                    <xdr:rowOff>28575</xdr:rowOff>
                  </from>
                  <to>
                    <xdr:col>90</xdr:col>
                    <xdr:colOff>209550</xdr:colOff>
                    <xdr:row>94</xdr:row>
                    <xdr:rowOff>9525</xdr:rowOff>
                  </to>
                </anchor>
              </controlPr>
            </control>
          </mc:Choice>
        </mc:AlternateContent>
        <mc:AlternateContent xmlns:mc="http://schemas.openxmlformats.org/markup-compatibility/2006">
          <mc:Choice Requires="x14">
            <control shapeId="23624" r:id="rId45" name="Check Box 72">
              <controlPr defaultSize="0" autoFill="0" autoLine="0" autoPict="0">
                <anchor moveWithCells="1">
                  <from>
                    <xdr:col>57</xdr:col>
                    <xdr:colOff>0</xdr:colOff>
                    <xdr:row>94</xdr:row>
                    <xdr:rowOff>28575</xdr:rowOff>
                  </from>
                  <to>
                    <xdr:col>90</xdr:col>
                    <xdr:colOff>209550</xdr:colOff>
                    <xdr:row>96</xdr:row>
                    <xdr:rowOff>9525</xdr:rowOff>
                  </to>
                </anchor>
              </controlPr>
            </control>
          </mc:Choice>
        </mc:AlternateContent>
        <mc:AlternateContent xmlns:mc="http://schemas.openxmlformats.org/markup-compatibility/2006">
          <mc:Choice Requires="x14">
            <control shapeId="23625" r:id="rId46" name="Check Box 73">
              <controlPr defaultSize="0" autoFill="0" autoLine="0" autoPict="0">
                <anchor moveWithCells="1">
                  <from>
                    <xdr:col>60</xdr:col>
                    <xdr:colOff>0</xdr:colOff>
                    <xdr:row>94</xdr:row>
                    <xdr:rowOff>28575</xdr:rowOff>
                  </from>
                  <to>
                    <xdr:col>91</xdr:col>
                    <xdr:colOff>47625</xdr:colOff>
                    <xdr:row>96</xdr:row>
                    <xdr:rowOff>9525</xdr:rowOff>
                  </to>
                </anchor>
              </controlPr>
            </control>
          </mc:Choice>
        </mc:AlternateContent>
        <mc:AlternateContent xmlns:mc="http://schemas.openxmlformats.org/markup-compatibility/2006">
          <mc:Choice Requires="x14">
            <control shapeId="23626" r:id="rId47" name="Check Box 74">
              <controlPr defaultSize="0" autoFill="0" autoLine="0" autoPict="0">
                <anchor moveWithCells="1">
                  <from>
                    <xdr:col>57</xdr:col>
                    <xdr:colOff>0</xdr:colOff>
                    <xdr:row>96</xdr:row>
                    <xdr:rowOff>28575</xdr:rowOff>
                  </from>
                  <to>
                    <xdr:col>90</xdr:col>
                    <xdr:colOff>209550</xdr:colOff>
                    <xdr:row>98</xdr:row>
                    <xdr:rowOff>9525</xdr:rowOff>
                  </to>
                </anchor>
              </controlPr>
            </control>
          </mc:Choice>
        </mc:AlternateContent>
        <mc:AlternateContent xmlns:mc="http://schemas.openxmlformats.org/markup-compatibility/2006">
          <mc:Choice Requires="x14">
            <control shapeId="23627" r:id="rId48" name="Check Box 75">
              <controlPr defaultSize="0" autoFill="0" autoLine="0" autoPict="0">
                <anchor moveWithCells="1">
                  <from>
                    <xdr:col>60</xdr:col>
                    <xdr:colOff>0</xdr:colOff>
                    <xdr:row>96</xdr:row>
                    <xdr:rowOff>28575</xdr:rowOff>
                  </from>
                  <to>
                    <xdr:col>91</xdr:col>
                    <xdr:colOff>47625</xdr:colOff>
                    <xdr:row>98</xdr:row>
                    <xdr:rowOff>9525</xdr:rowOff>
                  </to>
                </anchor>
              </controlPr>
            </control>
          </mc:Choice>
        </mc:AlternateContent>
        <mc:AlternateContent xmlns:mc="http://schemas.openxmlformats.org/markup-compatibility/2006">
          <mc:Choice Requires="x14">
            <control shapeId="23628" r:id="rId49" name="Check Box 76">
              <controlPr defaultSize="0" autoFill="0" autoLine="0" autoPict="0">
                <anchor moveWithCells="1">
                  <from>
                    <xdr:col>57</xdr:col>
                    <xdr:colOff>0</xdr:colOff>
                    <xdr:row>98</xdr:row>
                    <xdr:rowOff>28575</xdr:rowOff>
                  </from>
                  <to>
                    <xdr:col>90</xdr:col>
                    <xdr:colOff>209550</xdr:colOff>
                    <xdr:row>100</xdr:row>
                    <xdr:rowOff>9525</xdr:rowOff>
                  </to>
                </anchor>
              </controlPr>
            </control>
          </mc:Choice>
        </mc:AlternateContent>
        <mc:AlternateContent xmlns:mc="http://schemas.openxmlformats.org/markup-compatibility/2006">
          <mc:Choice Requires="x14">
            <control shapeId="23629" r:id="rId50" name="Check Box 77">
              <controlPr defaultSize="0" autoFill="0" autoLine="0" autoPict="0">
                <anchor moveWithCells="1">
                  <from>
                    <xdr:col>60</xdr:col>
                    <xdr:colOff>0</xdr:colOff>
                    <xdr:row>98</xdr:row>
                    <xdr:rowOff>28575</xdr:rowOff>
                  </from>
                  <to>
                    <xdr:col>91</xdr:col>
                    <xdr:colOff>47625</xdr:colOff>
                    <xdr:row>100</xdr:row>
                    <xdr:rowOff>9525</xdr:rowOff>
                  </to>
                </anchor>
              </controlPr>
            </control>
          </mc:Choice>
        </mc:AlternateContent>
        <mc:AlternateContent xmlns:mc="http://schemas.openxmlformats.org/markup-compatibility/2006">
          <mc:Choice Requires="x14">
            <control shapeId="23630" r:id="rId51" name="Check Box 78">
              <controlPr defaultSize="0" autoFill="0" autoLine="0" autoPict="0">
                <anchor moveWithCells="1">
                  <from>
                    <xdr:col>57</xdr:col>
                    <xdr:colOff>0</xdr:colOff>
                    <xdr:row>100</xdr:row>
                    <xdr:rowOff>28575</xdr:rowOff>
                  </from>
                  <to>
                    <xdr:col>90</xdr:col>
                    <xdr:colOff>209550</xdr:colOff>
                    <xdr:row>102</xdr:row>
                    <xdr:rowOff>9525</xdr:rowOff>
                  </to>
                </anchor>
              </controlPr>
            </control>
          </mc:Choice>
        </mc:AlternateContent>
        <mc:AlternateContent xmlns:mc="http://schemas.openxmlformats.org/markup-compatibility/2006">
          <mc:Choice Requires="x14">
            <control shapeId="23631" r:id="rId52" name="Check Box 79">
              <controlPr defaultSize="0" autoFill="0" autoLine="0" autoPict="0">
                <anchor moveWithCells="1">
                  <from>
                    <xdr:col>60</xdr:col>
                    <xdr:colOff>0</xdr:colOff>
                    <xdr:row>100</xdr:row>
                    <xdr:rowOff>28575</xdr:rowOff>
                  </from>
                  <to>
                    <xdr:col>91</xdr:col>
                    <xdr:colOff>47625</xdr:colOff>
                    <xdr:row>102</xdr:row>
                    <xdr:rowOff>9525</xdr:rowOff>
                  </to>
                </anchor>
              </controlPr>
            </control>
          </mc:Choice>
        </mc:AlternateContent>
        <mc:AlternateContent xmlns:mc="http://schemas.openxmlformats.org/markup-compatibility/2006">
          <mc:Choice Requires="x14">
            <control shapeId="23632" r:id="rId53" name="Check Box 80">
              <controlPr defaultSize="0" autoFill="0" autoLine="0" autoPict="0">
                <anchor moveWithCells="1">
                  <from>
                    <xdr:col>57</xdr:col>
                    <xdr:colOff>0</xdr:colOff>
                    <xdr:row>102</xdr:row>
                    <xdr:rowOff>28575</xdr:rowOff>
                  </from>
                  <to>
                    <xdr:col>90</xdr:col>
                    <xdr:colOff>209550</xdr:colOff>
                    <xdr:row>104</xdr:row>
                    <xdr:rowOff>28575</xdr:rowOff>
                  </to>
                </anchor>
              </controlPr>
            </control>
          </mc:Choice>
        </mc:AlternateContent>
        <mc:AlternateContent xmlns:mc="http://schemas.openxmlformats.org/markup-compatibility/2006">
          <mc:Choice Requires="x14">
            <control shapeId="23633" r:id="rId54" name="Check Box 81">
              <controlPr defaultSize="0" autoFill="0" autoLine="0" autoPict="0">
                <anchor moveWithCells="1">
                  <from>
                    <xdr:col>60</xdr:col>
                    <xdr:colOff>0</xdr:colOff>
                    <xdr:row>102</xdr:row>
                    <xdr:rowOff>28575</xdr:rowOff>
                  </from>
                  <to>
                    <xdr:col>91</xdr:col>
                    <xdr:colOff>47625</xdr:colOff>
                    <xdr:row>104</xdr:row>
                    <xdr:rowOff>28575</xdr:rowOff>
                  </to>
                </anchor>
              </controlPr>
            </control>
          </mc:Choice>
        </mc:AlternateContent>
        <mc:AlternateContent xmlns:mc="http://schemas.openxmlformats.org/markup-compatibility/2006">
          <mc:Choice Requires="x14">
            <control shapeId="23634" r:id="rId55" name="Check Box 82">
              <controlPr defaultSize="0" autoFill="0" autoLine="0" autoPict="0">
                <anchor moveWithCells="1">
                  <from>
                    <xdr:col>29</xdr:col>
                    <xdr:colOff>38100</xdr:colOff>
                    <xdr:row>94</xdr:row>
                    <xdr:rowOff>28575</xdr:rowOff>
                  </from>
                  <to>
                    <xdr:col>90</xdr:col>
                    <xdr:colOff>209550</xdr:colOff>
                    <xdr:row>96</xdr:row>
                    <xdr:rowOff>9525</xdr:rowOff>
                  </to>
                </anchor>
              </controlPr>
            </control>
          </mc:Choice>
        </mc:AlternateContent>
        <mc:AlternateContent xmlns:mc="http://schemas.openxmlformats.org/markup-compatibility/2006">
          <mc:Choice Requires="x14">
            <control shapeId="23639" r:id="rId56" name="Check Box 87">
              <controlPr defaultSize="0" autoFill="0" autoLine="0" autoPict="0">
                <anchor moveWithCells="1">
                  <from>
                    <xdr:col>29</xdr:col>
                    <xdr:colOff>38100</xdr:colOff>
                    <xdr:row>96</xdr:row>
                    <xdr:rowOff>28575</xdr:rowOff>
                  </from>
                  <to>
                    <xdr:col>90</xdr:col>
                    <xdr:colOff>209550</xdr:colOff>
                    <xdr:row>98</xdr:row>
                    <xdr:rowOff>9525</xdr:rowOff>
                  </to>
                </anchor>
              </controlPr>
            </control>
          </mc:Choice>
        </mc:AlternateContent>
        <mc:AlternateContent xmlns:mc="http://schemas.openxmlformats.org/markup-compatibility/2006">
          <mc:Choice Requires="x14">
            <control shapeId="23640" r:id="rId57" name="Check Box 88">
              <controlPr defaultSize="0" autoFill="0" autoLine="0" autoPict="0">
                <anchor moveWithCells="1">
                  <from>
                    <xdr:col>29</xdr:col>
                    <xdr:colOff>38100</xdr:colOff>
                    <xdr:row>98</xdr:row>
                    <xdr:rowOff>28575</xdr:rowOff>
                  </from>
                  <to>
                    <xdr:col>90</xdr:col>
                    <xdr:colOff>209550</xdr:colOff>
                    <xdr:row>100</xdr:row>
                    <xdr:rowOff>9525</xdr:rowOff>
                  </to>
                </anchor>
              </controlPr>
            </control>
          </mc:Choice>
        </mc:AlternateContent>
        <mc:AlternateContent xmlns:mc="http://schemas.openxmlformats.org/markup-compatibility/2006">
          <mc:Choice Requires="x14">
            <control shapeId="23642" r:id="rId58" name="Check Box 90">
              <controlPr defaultSize="0" autoFill="0" autoLine="0" autoPict="0">
                <anchor moveWithCells="1">
                  <from>
                    <xdr:col>29</xdr:col>
                    <xdr:colOff>38100</xdr:colOff>
                    <xdr:row>100</xdr:row>
                    <xdr:rowOff>28575</xdr:rowOff>
                  </from>
                  <to>
                    <xdr:col>90</xdr:col>
                    <xdr:colOff>209550</xdr:colOff>
                    <xdr:row>102</xdr:row>
                    <xdr:rowOff>9525</xdr:rowOff>
                  </to>
                </anchor>
              </controlPr>
            </control>
          </mc:Choice>
        </mc:AlternateContent>
        <mc:AlternateContent xmlns:mc="http://schemas.openxmlformats.org/markup-compatibility/2006">
          <mc:Choice Requires="x14">
            <control shapeId="23643" r:id="rId59" name="Check Box 91">
              <controlPr defaultSize="0" autoFill="0" autoLine="0" autoPict="0">
                <anchor moveWithCells="1">
                  <from>
                    <xdr:col>29</xdr:col>
                    <xdr:colOff>38100</xdr:colOff>
                    <xdr:row>102</xdr:row>
                    <xdr:rowOff>28575</xdr:rowOff>
                  </from>
                  <to>
                    <xdr:col>90</xdr:col>
                    <xdr:colOff>209550</xdr:colOff>
                    <xdr:row>104</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11</vt:i4>
      </vt:variant>
    </vt:vector>
  </HeadingPairs>
  <TitlesOfParts>
    <vt:vector size="20" baseType="lpstr">
      <vt:lpstr>Page d'accueil</vt:lpstr>
      <vt:lpstr>0_Dossier de demande </vt:lpstr>
      <vt:lpstr>1_Lettre de demande</vt:lpstr>
      <vt:lpstr>2_Fiche projet</vt:lpstr>
      <vt:lpstr>3_Fiche auteurs </vt:lpstr>
      <vt:lpstr>4_Accord répartition</vt:lpstr>
      <vt:lpstr>5_Budget et financement</vt:lpstr>
      <vt:lpstr>6_Fiche synthèse</vt:lpstr>
      <vt:lpstr>Results</vt:lpstr>
      <vt:lpstr>'3_Fiche auteurs '!Impression_des_titres</vt:lpstr>
      <vt:lpstr>'4_Accord répartition'!Impression_des_titres</vt:lpstr>
      <vt:lpstr>'0_Dossier de demande '!Zone_d_impression</vt:lpstr>
      <vt:lpstr>'1_Lettre de demande'!Zone_d_impression</vt:lpstr>
      <vt:lpstr>'2_Fiche projet'!Zone_d_impression</vt:lpstr>
      <vt:lpstr>'3_Fiche auteurs '!Zone_d_impression</vt:lpstr>
      <vt:lpstr>'4_Accord répartition'!Zone_d_impression</vt:lpstr>
      <vt:lpstr>'5_Budget et financement'!Zone_d_impression</vt:lpstr>
      <vt:lpstr>'6_Fiche synthèse'!Zone_d_impression</vt:lpstr>
      <vt:lpstr>'Page d''accueil'!Zone_d_impression</vt:lpstr>
      <vt:lpstr>Results!Zone_d_impression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dossier administratif</dc:title>
  <dc:subject>Aide à l'écriture jeu vidéo</dc:subject>
  <dc:creator>Prévot Lionel</dc:creator>
  <cp:lastModifiedBy>Cola Alexandra</cp:lastModifiedBy>
  <cp:lastPrinted>2024-11-07T11:30:03Z</cp:lastPrinted>
  <dcterms:created xsi:type="dcterms:W3CDTF">2008-02-21T14:11:14Z</dcterms:created>
  <dcterms:modified xsi:type="dcterms:W3CDTF">2026-03-24T10:32:53Z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abelle Avenard">
    <vt:lpwstr>CNC - Service du jeu vidéo et de la création numérique</vt:lpwstr>
  </property>
  <property fmtid="{D5CDD505-2E9C-101B-9397-08002B2CF9AE}" pid="3" name="isabelle.avenard@cnc.fr">
    <vt:lpwstr>01 44 34 36 45 </vt:lpwstr>
  </property>
</Properties>
</file>